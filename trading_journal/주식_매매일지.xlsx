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설정" sheetId="2" state="visible" r:id="rId4"/>
    <sheet name="거래장부_스윙트레이딩" sheetId="3" state="visible" r:id="rId5"/>
    <sheet name="대시보드_스윙트레이딩" sheetId="4" state="visible" r:id="rId6"/>
    <sheet name="원본거래내역" sheetId="5" state="visible" r:id="rId7"/>
  </sheets>
  <definedNames>
    <definedName function="false" hidden="true" localSheetId="2" name="_xlnm._FilterDatabase" vbProcedure="false">거래장부_스윙트레이딩!$A$5:$W$505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<sst xmlns="http://schemas.openxmlformats.org/spreadsheetml/2006/main" count="268" uniqueCount="222">
  <si>
    <r>
      <rPr>
        <b val="true"/>
        <sz val="14"/>
        <color rgb="FFFFFFFF"/>
        <rFont val="WenQuanYi Zen Hei"/>
        <family val="2"/>
      </rPr>
      <t xml:space="preserve">주식 매매일지 </t>
    </r>
    <r>
      <rPr>
        <b val="true"/>
        <sz val="14"/>
        <color rgb="FFFFFFFF"/>
        <rFont val="Arial"/>
        <family val="0"/>
        <charset val="1"/>
      </rPr>
      <t xml:space="preserve">· </t>
    </r>
    <r>
      <rPr>
        <b val="true"/>
        <sz val="14"/>
        <color rgb="FFFFFFFF"/>
        <rFont val="WenQuanYi Zen Hei"/>
        <family val="2"/>
      </rPr>
      <t xml:space="preserve">사용법</t>
    </r>
  </si>
  <si>
    <t xml:space="preserve">■ 시트 구성</t>
  </si>
  <si>
    <t xml:space="preserve">사용법</t>
  </si>
  <si>
    <r>
      <rPr>
        <sz val="10"/>
        <rFont val="WenQuanYi Zen Hei"/>
        <family val="2"/>
      </rPr>
      <t xml:space="preserve">이 시트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입력 규칙과 색 규칙 설명</t>
    </r>
    <r>
      <rPr>
        <sz val="10"/>
        <rFont val="Arial"/>
        <family val="0"/>
        <charset val="1"/>
      </rPr>
      <t xml:space="preserve">.</t>
    </r>
  </si>
  <si>
    <t xml:space="preserve">설정</t>
  </si>
  <si>
    <r>
      <rPr>
        <sz val="10"/>
        <rFont val="WenQuanYi Zen Hei"/>
        <family val="2"/>
      </rPr>
      <t xml:space="preserve">전략명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초기자본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수수료율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대시보드 시작월 등 공통 파라미터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노란 칸만 고치면 됨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</si>
  <si>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거래장부</t>
    </r>
    <r>
      <rPr>
        <b val="true"/>
        <sz val="10"/>
        <rFont val="Arial"/>
        <family val="0"/>
        <charset val="1"/>
      </rPr>
      <t xml:space="preserve">_&lt;</t>
    </r>
    <r>
      <rPr>
        <b val="true"/>
        <sz val="10"/>
        <rFont val="WenQuanYi Zen Hei"/>
        <family val="2"/>
      </rPr>
      <t xml:space="preserve">전략</t>
    </r>
    <r>
      <rPr>
        <b val="true"/>
        <sz val="10"/>
        <rFont val="Arial"/>
        <family val="0"/>
        <charset val="1"/>
      </rPr>
      <t xml:space="preserve">&gt;</t>
    </r>
  </si>
  <si>
    <r>
      <rPr>
        <sz val="10"/>
        <rFont val="WenQuanYi Zen Hei"/>
        <family val="2"/>
      </rPr>
      <t xml:space="preserve">매매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매수</t>
    </r>
    <r>
      <rPr>
        <sz val="10"/>
        <rFont val="Arial"/>
        <family val="0"/>
        <charset val="1"/>
      </rPr>
      <t xml:space="preserve">~</t>
    </r>
    <r>
      <rPr>
        <sz val="10"/>
        <rFont val="WenQuanYi Zen Hei"/>
        <family val="2"/>
      </rPr>
      <t xml:space="preserve">매도 한 사이클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행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실제로 입력하는 곳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</si>
  <si>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대시보드</t>
    </r>
    <r>
      <rPr>
        <b val="true"/>
        <sz val="10"/>
        <rFont val="Arial"/>
        <family val="0"/>
        <charset val="1"/>
      </rPr>
      <t xml:space="preserve">_&lt;</t>
    </r>
    <r>
      <rPr>
        <b val="true"/>
        <sz val="10"/>
        <rFont val="WenQuanYi Zen Hei"/>
        <family val="2"/>
      </rPr>
      <t xml:space="preserve">전략</t>
    </r>
    <r>
      <rPr>
        <b val="true"/>
        <sz val="10"/>
        <rFont val="Arial"/>
        <family val="0"/>
        <charset val="1"/>
      </rPr>
      <t xml:space="preserve">&gt;</t>
    </r>
  </si>
  <si>
    <r>
      <rPr>
        <sz val="10"/>
        <rFont val="WenQuanYi Zen Hei"/>
        <family val="2"/>
      </rPr>
      <t xml:space="preserve">해당 전략의 성과 요약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전부 수식이므로 직접 고치지 말 것</t>
    </r>
    <r>
      <rPr>
        <sz val="10"/>
        <rFont val="Arial"/>
        <family val="0"/>
        <charset val="1"/>
      </rPr>
      <t xml:space="preserve">.</t>
    </r>
  </si>
  <si>
    <t xml:space="preserve">원본거래내역</t>
  </si>
  <si>
    <r>
      <rPr>
        <sz val="10"/>
        <rFont val="WenQuanYi Zen Hei"/>
        <family val="2"/>
      </rPr>
      <t xml:space="preserve">증권사 </t>
    </r>
    <r>
      <rPr>
        <sz val="10"/>
        <rFont val="Arial"/>
        <family val="0"/>
        <charset val="1"/>
      </rPr>
      <t xml:space="preserve">HTS/MTS</t>
    </r>
    <r>
      <rPr>
        <sz val="10"/>
        <rFont val="WenQuanYi Zen Hei"/>
        <family val="2"/>
      </rPr>
      <t xml:space="preserve">에서 뽑은 거래내역 원본을 그대로 붙여넣는 보관용 시트</t>
    </r>
    <r>
      <rPr>
        <sz val="10"/>
        <rFont val="Arial"/>
        <family val="0"/>
        <charset val="1"/>
      </rPr>
      <t xml:space="preserve">.</t>
    </r>
  </si>
  <si>
    <t xml:space="preserve">■ 색 규칙</t>
  </si>
  <si>
    <r>
      <rPr>
        <b val="true"/>
        <sz val="10"/>
        <rFont val="WenQuanYi Zen Hei"/>
        <family val="2"/>
      </rPr>
      <t xml:space="preserve">노란 배경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파란 글씨</t>
    </r>
  </si>
  <si>
    <r>
      <rPr>
        <sz val="10"/>
        <rFont val="WenQuanYi Zen Hei"/>
        <family val="2"/>
      </rPr>
      <t xml:space="preserve">직접 입력하는 칸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</si>
  <si>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회색 배경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WenQuanYi Zen Hei"/>
        <family val="2"/>
      </rPr>
      <t xml:space="preserve">검은 글씨</t>
    </r>
  </si>
  <si>
    <r>
      <rPr>
        <sz val="10"/>
        <rFont val="WenQuanYi Zen Hei"/>
        <family val="2"/>
      </rPr>
      <t xml:space="preserve">자동 계산되는 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덮어쓰면 수식이 깨짐</t>
    </r>
    <r>
      <rPr>
        <sz val="10"/>
        <rFont val="Arial"/>
        <family val="0"/>
        <charset val="1"/>
      </rPr>
      <t xml:space="preserve">.</t>
    </r>
  </si>
  <si>
    <t xml:space="preserve">초록 글씨</t>
  </si>
  <si>
    <r>
      <rPr>
        <sz val="10"/>
        <rFont val="WenQuanYi Zen Hei"/>
        <family val="2"/>
      </rPr>
      <t xml:space="preserve">다른 시트를 참조하는 값</t>
    </r>
    <r>
      <rPr>
        <sz val="10"/>
        <rFont val="Arial"/>
        <family val="0"/>
        <charset val="1"/>
      </rPr>
      <t xml:space="preserve">.</t>
    </r>
  </si>
  <si>
    <t xml:space="preserve">주황 배경</t>
  </si>
  <si>
    <r>
      <rPr>
        <sz val="10"/>
        <rFont val="WenQuanYi Zen Hei"/>
        <family val="2"/>
      </rPr>
      <t xml:space="preserve">예시 행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실제 사용 전에 삭제할 것</t>
    </r>
    <r>
      <rPr>
        <sz val="10"/>
        <rFont val="Arial"/>
        <family val="0"/>
        <charset val="1"/>
      </rPr>
      <t xml:space="preserve">.</t>
    </r>
  </si>
  <si>
    <t xml:space="preserve">■ 입력 순서</t>
  </si>
  <si>
    <t xml:space="preserve">1</t>
  </si>
  <si>
    <r>
      <rPr>
        <sz val="10"/>
        <rFont val="WenQuanYi Zen Hei"/>
        <family val="2"/>
      </rPr>
      <t xml:space="preserve">매수 체결 직후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종목코드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종목명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매수일자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매수단가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매수수수료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매매유형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메모를 입력한다</t>
    </r>
    <r>
      <rPr>
        <sz val="10"/>
        <rFont val="Arial"/>
        <family val="0"/>
        <charset val="1"/>
      </rPr>
      <t xml:space="preserve">.</t>
    </r>
  </si>
  <si>
    <t xml:space="preserve">2</t>
  </si>
  <si>
    <r>
      <rPr>
        <sz val="10"/>
        <rFont val="WenQuanYi Zen Hei"/>
        <family val="2"/>
      </rPr>
      <t xml:space="preserve">이 시점에는 매도 관련 칸이 비어 있으므로 상태가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보유중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잡히고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손익 계산에서 제외된다</t>
    </r>
    <r>
      <rPr>
        <sz val="10"/>
        <rFont val="Arial"/>
        <family val="0"/>
        <charset val="1"/>
      </rPr>
      <t xml:space="preserve">.</t>
    </r>
  </si>
  <si>
    <t xml:space="preserve">3</t>
  </si>
  <si>
    <r>
      <rPr>
        <sz val="10"/>
        <rFont val="WenQuanYi Zen Hei"/>
        <family val="2"/>
      </rPr>
      <t xml:space="preserve">매도 체결 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매도일자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매도단가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매도수수료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제세금을 채운다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상태가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청산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바뀌며 손익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수익률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보유일수가 계산된다</t>
    </r>
    <r>
      <rPr>
        <sz val="10"/>
        <rFont val="Arial"/>
        <family val="0"/>
        <charset val="1"/>
      </rPr>
      <t xml:space="preserve">.</t>
    </r>
  </si>
  <si>
    <t xml:space="preserve">4</t>
  </si>
  <si>
    <r>
      <rPr>
        <sz val="10"/>
        <rFont val="WenQuanYi Zen Hei"/>
        <family val="2"/>
      </rPr>
      <t xml:space="preserve">분할매수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분할매도는 평균단가와 총수량으로 합쳐 한 행에 적거나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매수 묶음별로 행을 나눠 적는다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둘 중 하나로 일관되게</t>
    </r>
    <r>
      <rPr>
        <sz val="10"/>
        <rFont val="Arial"/>
        <family val="0"/>
        <charset val="1"/>
      </rPr>
      <t xml:space="preserve">).</t>
    </r>
  </si>
  <si>
    <t xml:space="preserve">5</t>
  </si>
  <si>
    <r>
      <rPr>
        <sz val="10"/>
        <rFont val="WenQuanYi Zen Hei"/>
        <family val="2"/>
      </rPr>
      <t xml:space="preserve">대시보드는 파일을 열 때 자동 재계산된다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값이 안 바뀌면 </t>
    </r>
    <r>
      <rPr>
        <sz val="10"/>
        <rFont val="Arial"/>
        <family val="0"/>
        <charset val="1"/>
      </rPr>
      <t xml:space="preserve">F9(</t>
    </r>
    <r>
      <rPr>
        <sz val="10"/>
        <rFont val="WenQuanYi Zen Hei"/>
        <family val="2"/>
      </rPr>
      <t xml:space="preserve">수동 계산 모드일 때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누른다</t>
    </r>
    <r>
      <rPr>
        <sz val="10"/>
        <rFont val="Arial"/>
        <family val="0"/>
        <charset val="1"/>
      </rPr>
      <t xml:space="preserve">.</t>
    </r>
  </si>
  <si>
    <t xml:space="preserve">■ 지표 정의</t>
  </si>
  <si>
    <t xml:space="preserve">순손익</t>
  </si>
  <si>
    <r>
      <rPr>
        <sz val="10"/>
        <rFont val="WenQuanYi Zen Hei"/>
        <family val="2"/>
      </rPr>
      <t xml:space="preserve">총매도금액 − 총매수금액 − 총비용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매수수수료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매도수수료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제세금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세후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수수료후 실현손익</t>
    </r>
    <r>
      <rPr>
        <sz val="10"/>
        <rFont val="Arial"/>
        <family val="0"/>
        <charset val="1"/>
      </rPr>
      <t xml:space="preserve">.</t>
    </r>
  </si>
  <si>
    <t xml:space="preserve">수익률</t>
  </si>
  <si>
    <r>
      <rPr>
        <sz val="10"/>
        <rFont val="WenQuanYi Zen Hei"/>
        <family val="2"/>
      </rPr>
      <t xml:space="preserve">순손익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총매수금액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투입원금 대비 실현 수익률이며 보유기간으로 연환산하지 않은 값</t>
    </r>
    <r>
      <rPr>
        <sz val="10"/>
        <rFont val="Arial"/>
        <family val="0"/>
        <charset val="1"/>
      </rPr>
      <t xml:space="preserve">.</t>
    </r>
  </si>
  <si>
    <t xml:space="preserve">승률</t>
  </si>
  <si>
    <r>
      <rPr>
        <sz val="10"/>
        <rFont val="WenQuanYi Zen Hei"/>
        <family val="2"/>
      </rPr>
      <t xml:space="preserve">수익 거래 수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청산 거래 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보유중 거래는 분모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분자 모두에서 제외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</si>
  <si>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손익비</t>
    </r>
    <r>
      <rPr>
        <b val="true"/>
        <sz val="10"/>
        <rFont val="Arial"/>
        <family val="0"/>
        <charset val="1"/>
      </rPr>
      <t xml:space="preserve">(Profit Factor)</t>
    </r>
  </si>
  <si>
    <r>
      <rPr>
        <sz val="10"/>
        <rFont val="WenQuanYi Zen Hei"/>
        <family val="2"/>
      </rPr>
      <t xml:space="preserve">총수익 합계 </t>
    </r>
    <r>
      <rPr>
        <sz val="10"/>
        <rFont val="Arial"/>
        <family val="0"/>
        <charset val="1"/>
      </rPr>
      <t xml:space="preserve">÷ |</t>
    </r>
    <r>
      <rPr>
        <sz val="10"/>
        <rFont val="WenQuanYi Zen Hei"/>
        <family val="2"/>
      </rPr>
      <t xml:space="preserve">총손실 합계</t>
    </r>
    <r>
      <rPr>
        <sz val="10"/>
        <rFont val="Arial"/>
        <family val="0"/>
        <charset val="1"/>
      </rPr>
      <t xml:space="preserve">|. 1</t>
    </r>
    <r>
      <rPr>
        <sz val="10"/>
        <rFont val="WenQuanYi Zen Hei"/>
        <family val="2"/>
      </rPr>
      <t xml:space="preserve">보다 크면 전략이 플러스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</si>
  <si>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평균 손익비</t>
    </r>
    <r>
      <rPr>
        <b val="true"/>
        <sz val="10"/>
        <rFont val="Arial"/>
        <family val="0"/>
        <charset val="1"/>
      </rPr>
      <t xml:space="preserve">(R/R)</t>
    </r>
  </si>
  <si>
    <r>
      <rPr>
        <sz val="10"/>
        <rFont val="WenQuanYi Zen Hei"/>
        <family val="2"/>
      </rPr>
      <t xml:space="preserve">평균 수익 </t>
    </r>
    <r>
      <rPr>
        <sz val="10"/>
        <rFont val="Arial"/>
        <family val="0"/>
        <charset val="1"/>
      </rPr>
      <t xml:space="preserve">÷ |</t>
    </r>
    <r>
      <rPr>
        <sz val="10"/>
        <rFont val="WenQuanYi Zen Hei"/>
        <family val="2"/>
      </rPr>
      <t xml:space="preserve">평균 손실</t>
    </r>
    <r>
      <rPr>
        <sz val="10"/>
        <rFont val="Arial"/>
        <family val="0"/>
        <charset val="1"/>
      </rPr>
      <t xml:space="preserve">|. </t>
    </r>
    <r>
      <rPr>
        <sz val="10"/>
        <rFont val="WenQuanYi Zen Hei"/>
        <family val="2"/>
      </rPr>
      <t xml:space="preserve">한 번 이길 때 버는 돈이 한 번 질 때 잃는 돈의 몇 배인지</t>
    </r>
    <r>
      <rPr>
        <sz val="10"/>
        <rFont val="Arial"/>
        <family val="0"/>
        <charset val="1"/>
      </rPr>
      <t xml:space="preserve">.</t>
    </r>
  </si>
  <si>
    <t xml:space="preserve">기대값</t>
  </si>
  <si>
    <r>
      <rPr>
        <sz val="10"/>
        <rFont val="WenQuanYi Zen Hei"/>
        <family val="2"/>
      </rPr>
      <t xml:space="preserve">총 실현손익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청산 거래 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거래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건당 평균적으로 기대되는 금액</t>
    </r>
    <r>
      <rPr>
        <sz val="10"/>
        <rFont val="Arial"/>
        <family val="0"/>
        <charset val="1"/>
      </rPr>
      <t xml:space="preserve">.</t>
    </r>
  </si>
  <si>
    <t xml:space="preserve">보유일수</t>
  </si>
  <si>
    <r>
      <rPr>
        <sz val="10"/>
        <rFont val="WenQuanYi Zen Hei"/>
        <family val="2"/>
      </rPr>
      <t xml:space="preserve">청산 거래는 매도일자−매수일자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보유중 거래는 오늘−매수일자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파일 열 때마다 갱신</t>
    </r>
    <r>
      <rPr>
        <sz val="10"/>
        <rFont val="Arial"/>
        <family val="0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</si>
  <si>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최대 연속 수익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손실</t>
    </r>
  </si>
  <si>
    <r>
      <rPr>
        <sz val="10"/>
        <rFont val="WenQuanYi Zen Hei"/>
        <family val="2"/>
      </rPr>
      <t xml:space="preserve">장부의 행 순서 기준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매수일자 오름차순으로 정렬해 두어야 의미가 맞음</t>
    </r>
    <r>
      <rPr>
        <sz val="10"/>
        <rFont val="Arial"/>
        <family val="0"/>
        <charset val="1"/>
      </rPr>
      <t xml:space="preserve">.</t>
    </r>
  </si>
  <si>
    <t xml:space="preserve">■ 전략 추가 방법</t>
  </si>
  <si>
    <t xml:space="preserve">코드로 추가</t>
  </si>
  <si>
    <r>
      <rPr>
        <sz val="10"/>
        <rFont val="Arial"/>
        <family val="0"/>
        <charset val="1"/>
      </rPr>
      <t xml:space="preserve">trading_journal/build_journal.py 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STRATEGIES </t>
    </r>
    <r>
      <rPr>
        <sz val="10"/>
        <rFont val="WenQuanYi Zen Hei"/>
        <family val="2"/>
      </rPr>
      <t xml:space="preserve">리스트에 전략명을 추가하고 다시 실행하면 시트 쌍이 생성된다</t>
    </r>
    <r>
      <rPr>
        <sz val="10"/>
        <rFont val="Arial"/>
        <family val="0"/>
        <charset val="1"/>
      </rPr>
      <t xml:space="preserve">.</t>
    </r>
  </si>
  <si>
    <t xml:space="preserve">엑셀에서 추가</t>
  </si>
  <si>
    <r>
      <rPr>
        <sz val="10"/>
        <rFont val="WenQuanYi Zen Hei"/>
        <family val="2"/>
      </rPr>
      <t xml:space="preserve">거래장부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대시보드 시트를 각각 우클릭 → 이동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복사 → 복사본 만들기 후 이름을 바꾸고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대시보드 수식의 시트 이름을 새 장부 이름으로 일괄 치환한다</t>
    </r>
    <r>
      <rPr>
        <sz val="10"/>
        <rFont val="Arial"/>
        <family val="0"/>
        <charset val="1"/>
      </rPr>
      <t xml:space="preserve">.</t>
    </r>
  </si>
  <si>
    <t xml:space="preserve">주의</t>
  </si>
  <si>
    <r>
      <rPr>
        <sz val="10"/>
        <rFont val="WenQuanYi Zen Hei"/>
        <family val="2"/>
      </rPr>
      <t xml:space="preserve">전략을 나누는 기준은 보유기간이 아니라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매매 근거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같은 종목이라도 근거가 다르면 다른 장부에 기록해야 통계가 섞이지 않는다</t>
    </r>
    <r>
      <rPr>
        <sz val="10"/>
        <rFont val="Arial"/>
        <family val="0"/>
        <charset val="1"/>
      </rPr>
      <t xml:space="preserve">.</t>
    </r>
  </si>
  <si>
    <t xml:space="preserve">공통 설정</t>
  </si>
  <si>
    <t xml:space="preserve">항목</t>
  </si>
  <si>
    <t xml:space="preserve">값</t>
  </si>
  <si>
    <t xml:space="preserve">설명</t>
  </si>
  <si>
    <t xml:space="preserve">계좌명</t>
  </si>
  <si>
    <r>
      <rPr>
        <b val="true"/>
        <sz val="10"/>
        <color rgb="FF0000FF"/>
        <rFont val="WenQuanYi Zen Hei"/>
        <family val="2"/>
      </rPr>
      <t xml:space="preserve">하나증권 </t>
    </r>
    <r>
      <rPr>
        <b val="true"/>
        <sz val="10"/>
        <color rgb="FF0000FF"/>
        <rFont val="Arial"/>
        <family val="0"/>
        <charset val="1"/>
      </rPr>
      <t xml:space="preserve">/ </t>
    </r>
    <r>
      <rPr>
        <b val="true"/>
        <sz val="10"/>
        <color rgb="FF0000FF"/>
        <rFont val="WenQuanYi Zen Hei"/>
        <family val="2"/>
      </rPr>
      <t xml:space="preserve">안현준</t>
    </r>
  </si>
  <si>
    <r>
      <rPr>
        <sz val="9"/>
        <color rgb="FF595959"/>
        <rFont val="WenQuanYi Zen Hei"/>
        <family val="2"/>
      </rPr>
      <t xml:space="preserve">여러 계좌를 쓰면 계좌별로 파일을 나누는 편이 낫다</t>
    </r>
    <r>
      <rPr>
        <sz val="9"/>
        <color rgb="FF595959"/>
        <rFont val="Arial"/>
        <family val="0"/>
        <charset val="1"/>
      </rPr>
      <t xml:space="preserve">.</t>
    </r>
  </si>
  <si>
    <t xml:space="preserve">기준 통화</t>
  </si>
  <si>
    <t xml:space="preserve">KRW</t>
  </si>
  <si>
    <r>
      <rPr>
        <sz val="9"/>
        <color rgb="FF595959"/>
        <rFont val="WenQuanYi Zen Hei"/>
        <family val="2"/>
      </rPr>
      <t xml:space="preserve">원화 기준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해외주식은 별도 파일 권장</t>
    </r>
    <r>
      <rPr>
        <sz val="9"/>
        <color rgb="FF595959"/>
        <rFont val="Arial"/>
        <family val="0"/>
        <charset val="1"/>
      </rPr>
      <t xml:space="preserve">.</t>
    </r>
  </si>
  <si>
    <t xml:space="preserve">초기 투자원금</t>
  </si>
  <si>
    <r>
      <rPr>
        <sz val="9"/>
        <color rgb="FF595959"/>
        <rFont val="WenQuanYi Zen Hei"/>
        <family val="2"/>
      </rPr>
      <t xml:space="preserve">원본거래내역의 입금 합계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계좌 전체 수익률 계산의 기준</t>
    </r>
    <r>
      <rPr>
        <sz val="9"/>
        <color rgb="FF595959"/>
        <rFont val="Arial"/>
        <family val="0"/>
        <charset val="1"/>
      </rPr>
      <t xml:space="preserve">.</t>
    </r>
  </si>
  <si>
    <t xml:space="preserve">대시보드 시작월</t>
  </si>
  <si>
    <r>
      <rPr>
        <sz val="9"/>
        <color rgb="FF595959"/>
        <rFont val="WenQuanYi Zen Hei"/>
        <family val="2"/>
      </rPr>
      <t xml:space="preserve">월별 성과 표의 첫 달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여기서부터 </t>
    </r>
    <r>
      <rPr>
        <sz val="9"/>
        <color rgb="FF595959"/>
        <rFont val="Arial"/>
        <family val="0"/>
        <charset val="1"/>
      </rPr>
      <t xml:space="preserve">24</t>
    </r>
    <r>
      <rPr>
        <sz val="9"/>
        <color rgb="FF595959"/>
        <rFont val="WenQuanYi Zen Hei"/>
        <family val="2"/>
      </rPr>
      <t xml:space="preserve">개월이 표시된다</t>
    </r>
    <r>
      <rPr>
        <sz val="9"/>
        <color rgb="FF595959"/>
        <rFont val="Arial"/>
        <family val="0"/>
        <charset val="1"/>
      </rPr>
      <t xml:space="preserve">.</t>
    </r>
  </si>
  <si>
    <t xml:space="preserve">매수 수수료율</t>
  </si>
  <si>
    <r>
      <rPr>
        <sz val="9"/>
        <color rgb="FF595959"/>
        <rFont val="WenQuanYi Zen Hei"/>
        <family val="2"/>
      </rPr>
      <t xml:space="preserve">참고값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장부에는 실제 체결 수수료를 원 단위로 직접 입력한다</t>
    </r>
    <r>
      <rPr>
        <sz val="9"/>
        <color rgb="FF595959"/>
        <rFont val="Arial"/>
        <family val="0"/>
        <charset val="1"/>
      </rPr>
      <t xml:space="preserve">.</t>
    </r>
  </si>
  <si>
    <t xml:space="preserve">매도 수수료율</t>
  </si>
  <si>
    <r>
      <rPr>
        <sz val="9"/>
        <color rgb="FF595959"/>
        <rFont val="WenQuanYi Zen Hei"/>
        <family val="2"/>
      </rPr>
      <t xml:space="preserve">참고값</t>
    </r>
    <r>
      <rPr>
        <sz val="9"/>
        <color rgb="FF595959"/>
        <rFont val="Arial"/>
        <family val="0"/>
        <charset val="1"/>
      </rPr>
      <t xml:space="preserve">.</t>
    </r>
  </si>
  <si>
    <t xml:space="preserve">증권거래세율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</si>
  <si>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WenQuanYi Zen Hei"/>
        <family val="2"/>
      </rPr>
      <t xml:space="preserve">년 코스피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코스닥 기준 참고값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실제 부과액을 장부에 입력한다</t>
    </r>
    <r>
      <rPr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</si>
  <si>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거래 최대 손실 한도</t>
    </r>
  </si>
  <si>
    <r>
      <rPr>
        <sz val="9"/>
        <color rgb="FF595959"/>
        <rFont val="WenQuanYi Zen Hei"/>
        <family val="2"/>
      </rPr>
      <t xml:space="preserve">총자본 대비 손절 한도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리스크 관리 기준선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수식에는 쓰이지 않음</t>
    </r>
    <r>
      <rPr>
        <sz val="9"/>
        <color rgb="FF595959"/>
        <rFont val="Arial"/>
        <family val="0"/>
        <charset val="1"/>
      </rPr>
      <t xml:space="preserve">).</t>
    </r>
  </si>
  <si>
    <t xml:space="preserve">전략 목록</t>
  </si>
  <si>
    <t xml:space="preserve">전략명</t>
  </si>
  <si>
    <t xml:space="preserve">장부 시트</t>
  </si>
  <si>
    <t xml:space="preserve">스윙트레이딩</t>
  </si>
  <si>
    <r>
      <rPr>
        <sz val="10"/>
        <rFont val="WenQuanYi Zen Hei"/>
        <family val="2"/>
      </rPr>
      <t xml:space="preserve">거래장부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스윙트레이딩</t>
    </r>
  </si>
  <si>
    <r>
      <rPr>
        <sz val="9"/>
        <color rgb="FF595959"/>
        <rFont val="WenQuanYi Zen Hei"/>
        <family val="2"/>
      </rPr>
      <t xml:space="preserve">수일</t>
    </r>
    <r>
      <rPr>
        <sz val="9"/>
        <color rgb="FF595959"/>
        <rFont val="Arial"/>
        <family val="0"/>
        <charset val="1"/>
      </rPr>
      <t xml:space="preserve">~</t>
    </r>
    <r>
      <rPr>
        <sz val="9"/>
        <color rgb="FF595959"/>
        <rFont val="WenQuanYi Zen Hei"/>
        <family val="2"/>
      </rPr>
      <t xml:space="preserve">수주 보유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추세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수급 기반 진입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목표가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손절가 사전 설정</t>
    </r>
    <r>
      <rPr>
        <sz val="9"/>
        <color rgb="FF595959"/>
        <rFont val="Arial"/>
        <family val="0"/>
        <charset val="1"/>
      </rPr>
      <t xml:space="preserve">.</t>
    </r>
  </si>
  <si>
    <t xml:space="preserve">매매유형 선택지</t>
  </si>
  <si>
    <t xml:space="preserve">목록</t>
  </si>
  <si>
    <r>
      <rPr>
        <sz val="10"/>
        <rFont val="WenQuanYi Zen Hei"/>
        <family val="2"/>
      </rPr>
      <t xml:space="preserve">돌파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눌림목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추세추종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실적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배당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테마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분할매수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역추세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기타</t>
    </r>
  </si>
  <si>
    <r>
      <rPr>
        <sz val="9"/>
        <color rgb="FF595959"/>
        <rFont val="WenQuanYi Zen Hei"/>
        <family val="2"/>
      </rPr>
      <t xml:space="preserve">거래장부의 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매매유형</t>
    </r>
    <r>
      <rPr>
        <sz val="9"/>
        <color rgb="FF595959"/>
        <rFont val="Arial"/>
        <family val="0"/>
        <charset val="1"/>
      </rPr>
      <t xml:space="preserve">' </t>
    </r>
    <r>
      <rPr>
        <sz val="9"/>
        <color rgb="FF595959"/>
        <rFont val="WenQuanYi Zen Hei"/>
        <family val="2"/>
      </rPr>
      <t xml:space="preserve">열 드롭다운 값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바꾸려면 각 장부 시트의 데이터 유효성 목록도 함께 수정</t>
    </r>
    <r>
      <rPr>
        <sz val="9"/>
        <color rgb="FF595959"/>
        <rFont val="Arial"/>
        <family val="0"/>
        <charset val="1"/>
      </rPr>
      <t xml:space="preserve">.</t>
    </r>
  </si>
  <si>
    <r>
      <rPr>
        <i val="true"/>
        <sz val="9"/>
        <color rgb="FF833C00"/>
        <rFont val="WenQuanYi Zen Hei"/>
        <family val="2"/>
      </rPr>
      <t xml:space="preserve">※ 수수료율</t>
    </r>
    <r>
      <rPr>
        <i val="true"/>
        <sz val="9"/>
        <color rgb="FF833C00"/>
        <rFont val="Arial"/>
        <family val="0"/>
        <charset val="1"/>
      </rPr>
      <t xml:space="preserve">·</t>
    </r>
    <r>
      <rPr>
        <i val="true"/>
        <sz val="9"/>
        <color rgb="FF833C00"/>
        <rFont val="WenQuanYi Zen Hei"/>
        <family val="2"/>
      </rPr>
      <t xml:space="preserve">거래세율은 참고용 상수이며 손익 계산에 직접 쓰이지 않는다</t>
    </r>
    <r>
      <rPr>
        <i val="true"/>
        <sz val="9"/>
        <color rgb="FF833C00"/>
        <rFont val="Arial"/>
        <family val="0"/>
        <charset val="1"/>
      </rPr>
      <t xml:space="preserve">. </t>
    </r>
    <r>
      <rPr>
        <i val="true"/>
        <sz val="9"/>
        <color rgb="FF833C00"/>
        <rFont val="WenQuanYi Zen Hei"/>
        <family val="2"/>
      </rPr>
      <t xml:space="preserve">장부에는 증권사가 실제로 부과한 금액을 원 단위로 입력할 것</t>
    </r>
    <r>
      <rPr>
        <i val="true"/>
        <sz val="9"/>
        <color rgb="FF833C00"/>
        <rFont val="Arial"/>
        <family val="0"/>
        <charset val="1"/>
      </rPr>
      <t xml:space="preserve">.</t>
    </r>
  </si>
  <si>
    <t xml:space="preserve">스윙트레이딩 거래장부</t>
  </si>
  <si>
    <t xml:space="preserve">전략</t>
  </si>
  <si>
    <t xml:space="preserve">청산 건수</t>
  </si>
  <si>
    <t xml:space="preserve">보유중</t>
  </si>
  <si>
    <t xml:space="preserve">실현손익 합계</t>
  </si>
  <si>
    <r>
      <rPr>
        <i val="true"/>
        <sz val="9"/>
        <color rgb="FF833C00"/>
        <rFont val="WenQuanYi Zen Hei"/>
        <family val="2"/>
      </rPr>
      <t xml:space="preserve">입력</t>
    </r>
    <r>
      <rPr>
        <i val="true"/>
        <sz val="9"/>
        <color rgb="FF833C00"/>
        <rFont val="Arial"/>
        <family val="0"/>
        <charset val="1"/>
      </rPr>
      <t xml:space="preserve">: </t>
    </r>
    <r>
      <rPr>
        <i val="true"/>
        <sz val="9"/>
        <color rgb="FF833C00"/>
        <rFont val="WenQuanYi Zen Hei"/>
        <family val="2"/>
      </rPr>
      <t xml:space="preserve">노란 칸</t>
    </r>
    <r>
      <rPr>
        <i val="true"/>
        <sz val="9"/>
        <color rgb="FF833C00"/>
        <rFont val="Arial"/>
        <family val="0"/>
        <charset val="1"/>
      </rPr>
      <t xml:space="preserve">(</t>
    </r>
    <r>
      <rPr>
        <i val="true"/>
        <sz val="9"/>
        <color rgb="FF833C00"/>
        <rFont val="WenQuanYi Zen Hei"/>
        <family val="2"/>
      </rPr>
      <t xml:space="preserve">파란 글씨</t>
    </r>
    <r>
      <rPr>
        <i val="true"/>
        <sz val="9"/>
        <color rgb="FF833C00"/>
        <rFont val="Arial"/>
        <family val="0"/>
        <charset val="1"/>
      </rPr>
      <t xml:space="preserve">)</t>
    </r>
    <r>
      <rPr>
        <i val="true"/>
        <sz val="9"/>
        <color rgb="FF833C00"/>
        <rFont val="WenQuanYi Zen Hei"/>
        <family val="2"/>
      </rPr>
      <t xml:space="preserve">만 채운다</t>
    </r>
    <r>
      <rPr>
        <i val="true"/>
        <sz val="9"/>
        <color rgb="FF833C00"/>
        <rFont val="Arial"/>
        <family val="0"/>
        <charset val="1"/>
      </rPr>
      <t xml:space="preserve">.  ·  </t>
    </r>
    <r>
      <rPr>
        <i val="true"/>
        <sz val="9"/>
        <color rgb="FF833C00"/>
        <rFont val="WenQuanYi Zen Hei"/>
        <family val="2"/>
      </rPr>
      <t xml:space="preserve">자동</t>
    </r>
    <r>
      <rPr>
        <i val="true"/>
        <sz val="9"/>
        <color rgb="FF833C00"/>
        <rFont val="Arial"/>
        <family val="0"/>
        <charset val="1"/>
      </rPr>
      <t xml:space="preserve">: </t>
    </r>
    <r>
      <rPr>
        <i val="true"/>
        <sz val="9"/>
        <color rgb="FF833C00"/>
        <rFont val="WenQuanYi Zen Hei"/>
        <family val="2"/>
      </rPr>
      <t xml:space="preserve">회색 칸은 수식이므로 덮어쓰지 말 것</t>
    </r>
    <r>
      <rPr>
        <i val="true"/>
        <sz val="9"/>
        <color rgb="FF833C00"/>
        <rFont val="Arial"/>
        <family val="0"/>
        <charset val="1"/>
      </rPr>
      <t xml:space="preserve">.  ·  </t>
    </r>
    <r>
      <rPr>
        <i val="true"/>
        <sz val="9"/>
        <color rgb="FF833C00"/>
        <rFont val="WenQuanYi Zen Hei"/>
        <family val="2"/>
      </rPr>
      <t xml:space="preserve">매수 직후엔 매수 칸만 채우고</t>
    </r>
    <r>
      <rPr>
        <i val="true"/>
        <sz val="9"/>
        <color rgb="FF833C00"/>
        <rFont val="Arial"/>
        <family val="0"/>
        <charset val="1"/>
      </rPr>
      <t xml:space="preserve">(</t>
    </r>
    <r>
      <rPr>
        <i val="true"/>
        <sz val="9"/>
        <color rgb="FF833C00"/>
        <rFont val="WenQuanYi Zen Hei"/>
        <family val="2"/>
      </rPr>
      <t xml:space="preserve">상태</t>
    </r>
    <r>
      <rPr>
        <i val="true"/>
        <sz val="9"/>
        <color rgb="FF833C00"/>
        <rFont val="Arial"/>
        <family val="0"/>
        <charset val="1"/>
      </rPr>
      <t xml:space="preserve">=</t>
    </r>
    <r>
      <rPr>
        <i val="true"/>
        <sz val="9"/>
        <color rgb="FF833C00"/>
        <rFont val="WenQuanYi Zen Hei"/>
        <family val="2"/>
      </rPr>
      <t xml:space="preserve">보유중</t>
    </r>
    <r>
      <rPr>
        <i val="true"/>
        <sz val="9"/>
        <color rgb="FF833C00"/>
        <rFont val="Arial"/>
        <family val="0"/>
        <charset val="1"/>
      </rPr>
      <t xml:space="preserve">), </t>
    </r>
    <r>
      <rPr>
        <i val="true"/>
        <sz val="9"/>
        <color rgb="FF833C00"/>
        <rFont val="WenQuanYi Zen Hei"/>
        <family val="2"/>
      </rPr>
      <t xml:space="preserve">매도 후 매도 칸을 채우면 상태가 </t>
    </r>
    <r>
      <rPr>
        <i val="true"/>
        <sz val="9"/>
        <color rgb="FF833C00"/>
        <rFont val="Arial"/>
        <family val="0"/>
        <charset val="1"/>
      </rPr>
      <t xml:space="preserve">'</t>
    </r>
    <r>
      <rPr>
        <i val="true"/>
        <sz val="9"/>
        <color rgb="FF833C00"/>
        <rFont val="WenQuanYi Zen Hei"/>
        <family val="2"/>
      </rPr>
      <t xml:space="preserve">청산</t>
    </r>
    <r>
      <rPr>
        <i val="true"/>
        <sz val="9"/>
        <color rgb="FF833C00"/>
        <rFont val="Arial"/>
        <family val="0"/>
        <charset val="1"/>
      </rPr>
      <t xml:space="preserve">'</t>
    </r>
    <r>
      <rPr>
        <i val="true"/>
        <sz val="9"/>
        <color rgb="FF833C00"/>
        <rFont val="WenQuanYi Zen Hei"/>
        <family val="2"/>
      </rPr>
      <t xml:space="preserve">으로 바뀌며 손익이 계산된다</t>
    </r>
    <r>
      <rPr>
        <i val="true"/>
        <sz val="9"/>
        <color rgb="FF833C00"/>
        <rFont val="Arial"/>
        <family val="0"/>
        <charset val="1"/>
      </rPr>
      <t xml:space="preserve">.  ·  </t>
    </r>
    <r>
      <rPr>
        <i val="true"/>
        <sz val="9"/>
        <color rgb="FF833C00"/>
        <rFont val="WenQuanYi Zen Hei"/>
        <family val="2"/>
      </rPr>
      <t xml:space="preserve">주황색 예시 </t>
    </r>
    <r>
      <rPr>
        <i val="true"/>
        <sz val="9"/>
        <color rgb="FF833C00"/>
        <rFont val="Arial"/>
        <family val="0"/>
        <charset val="1"/>
      </rPr>
      <t xml:space="preserve">3</t>
    </r>
    <r>
      <rPr>
        <i val="true"/>
        <sz val="9"/>
        <color rgb="FF833C00"/>
        <rFont val="WenQuanYi Zen Hei"/>
        <family val="2"/>
      </rPr>
      <t xml:space="preserve">행은 삭제 후 사용</t>
    </r>
    <r>
      <rPr>
        <i val="true"/>
        <sz val="9"/>
        <color rgb="FF833C00"/>
        <rFont val="Arial"/>
        <family val="0"/>
        <charset val="1"/>
      </rPr>
      <t xml:space="preserve">.</t>
    </r>
  </si>
  <si>
    <t xml:space="preserve">No</t>
  </si>
  <si>
    <t xml:space="preserve">종목코드</t>
  </si>
  <si>
    <t xml:space="preserve">종목명</t>
  </si>
  <si>
    <t xml:space="preserve">매수일자</t>
  </si>
  <si>
    <t xml:space="preserve">매수단가</t>
  </si>
  <si>
    <t xml:space="preserve">수량</t>
  </si>
  <si>
    <t xml:space="preserve">매수
수수료</t>
  </si>
  <si>
    <t xml:space="preserve">매도일자</t>
  </si>
  <si>
    <t xml:space="preserve">매도단가</t>
  </si>
  <si>
    <t xml:space="preserve">매도
수수료</t>
  </si>
  <si>
    <t xml:space="preserve">제세금</t>
  </si>
  <si>
    <t xml:space="preserve">상태</t>
  </si>
  <si>
    <t xml:space="preserve">총매수금액</t>
  </si>
  <si>
    <t xml:space="preserve">총매도금액</t>
  </si>
  <si>
    <t xml:space="preserve">총비용</t>
  </si>
  <si>
    <t xml:space="preserve">청산월</t>
  </si>
  <si>
    <t xml:space="preserve">매매유형</t>
  </si>
  <si>
    <r>
      <rPr>
        <b val="true"/>
        <sz val="10"/>
        <color rgb="FFFFFFFF"/>
        <rFont val="WenQuanYi Zen Hei"/>
        <family val="2"/>
      </rPr>
      <t xml:space="preserve">메모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매매근거</t>
    </r>
  </si>
  <si>
    <r>
      <rPr>
        <b val="true"/>
        <sz val="10"/>
        <color rgb="FFFFFFFF"/>
        <rFont val="WenQuanYi Zen Hei"/>
        <family val="2"/>
      </rPr>
      <t xml:space="preserve">연속승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보조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</si>
  <si>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연속패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보조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</si>
  <si>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005930</t>
  </si>
  <si>
    <t xml:space="preserve">삼성전자</t>
  </si>
  <si>
    <t xml:space="preserve">돌파</t>
  </si>
  <si>
    <r>
      <rPr>
        <sz val="10"/>
        <color rgb="FF0000FF"/>
        <rFont val="WenQuanYi Zen Hei"/>
        <family val="2"/>
      </rPr>
      <t xml:space="preserve">예시</t>
    </r>
    <r>
      <rPr>
        <sz val="10"/>
        <color rgb="FF0000FF"/>
        <rFont val="Arial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전고점 돌파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WenQuanYi Zen Hei"/>
        <family val="2"/>
      </rPr>
      <t xml:space="preserve">거래대금 급증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목표 </t>
    </r>
    <r>
      <rPr>
        <sz val="10"/>
        <color rgb="FF0000FF"/>
        <rFont val="Arial"/>
        <family val="0"/>
        <charset val="1"/>
      </rPr>
      <t xml:space="preserve">75,000 / </t>
    </r>
    <r>
      <rPr>
        <sz val="10"/>
        <color rgb="FF0000FF"/>
        <rFont val="WenQuanYi Zen Hei"/>
        <family val="2"/>
      </rPr>
      <t xml:space="preserve">손절 </t>
    </r>
    <r>
      <rPr>
        <sz val="10"/>
        <color rgb="FF0000FF"/>
        <rFont val="Arial"/>
        <family val="0"/>
        <charset val="1"/>
      </rPr>
      <t xml:space="preserve">64,500</t>
    </r>
  </si>
  <si>
    <t xml:space="preserve">035420</t>
  </si>
  <si>
    <t xml:space="preserve">NAVER</t>
  </si>
  <si>
    <t xml:space="preserve">눌림목</t>
  </si>
  <si>
    <r>
      <rPr>
        <sz val="10"/>
        <color rgb="FF0000FF"/>
        <rFont val="WenQuanYi Zen Hei"/>
        <family val="2"/>
      </rPr>
      <t xml:space="preserve">예시</t>
    </r>
    <r>
      <rPr>
        <sz val="10"/>
        <color rgb="FF0000FF"/>
        <rFont val="Arial"/>
        <family val="0"/>
        <charset val="1"/>
      </rPr>
      <t xml:space="preserve">) 20</t>
    </r>
    <r>
      <rPr>
        <sz val="10"/>
        <color rgb="FF0000FF"/>
        <rFont val="WenQuanYi Zen Hei"/>
        <family val="2"/>
      </rPr>
      <t xml:space="preserve">일선 지지 실패로 손절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진입 근거 조기 소멸</t>
    </r>
  </si>
  <si>
    <t xml:space="preserve">000660</t>
  </si>
  <si>
    <r>
      <rPr>
        <sz val="10"/>
        <color rgb="FF0000FF"/>
        <rFont val="Arial"/>
        <family val="0"/>
        <charset val="1"/>
      </rPr>
      <t xml:space="preserve">SK</t>
    </r>
    <r>
      <rPr>
        <sz val="10"/>
        <color rgb="FF0000FF"/>
        <rFont val="WenQuanYi Zen Hei"/>
        <family val="2"/>
      </rPr>
      <t xml:space="preserve">하이닉스</t>
    </r>
  </si>
  <si>
    <t xml:space="preserve">추세추종</t>
  </si>
  <si>
    <r>
      <rPr>
        <sz val="10"/>
        <color rgb="FF0000FF"/>
        <rFont val="WenQuanYi Zen Hei"/>
        <family val="2"/>
      </rPr>
      <t xml:space="preserve">예시</t>
    </r>
    <r>
      <rPr>
        <sz val="10"/>
        <color rgb="FF0000FF"/>
        <rFont val="Arial"/>
        <family val="0"/>
        <charset val="1"/>
      </rPr>
      <t xml:space="preserve">) </t>
    </r>
    <r>
      <rPr>
        <sz val="10"/>
        <color rgb="FF0000FF"/>
        <rFont val="WenQuanYi Zen Hei"/>
        <family val="2"/>
      </rPr>
      <t xml:space="preserve">보유중 행</t>
    </r>
    <r>
      <rPr>
        <sz val="10"/>
        <color rgb="FF0000FF"/>
        <rFont val="Arial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매도 칸이 비면 손익 계산에서 제외됨</t>
    </r>
  </si>
  <si>
    <r>
      <rPr>
        <b val="true"/>
        <sz val="10"/>
        <color rgb="FFFFFFFF"/>
        <rFont val="WenQuanYi Zen Hei"/>
        <family val="2"/>
      </rPr>
      <t xml:space="preserve">합계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평균</t>
    </r>
  </si>
  <si>
    <t xml:space="preserve">스윙트레이딩 성과 대시보드</t>
  </si>
  <si>
    <t xml:space="preserve">기준일</t>
  </si>
  <si>
    <r>
      <rPr>
        <i val="true"/>
        <sz val="9"/>
        <color rgb="FF595959"/>
        <rFont val="WenQuanYi Zen Hei"/>
        <family val="2"/>
      </rPr>
      <t xml:space="preserve">장부 시트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거래장부</t>
    </r>
    <r>
      <rPr>
        <i val="true"/>
        <sz val="9"/>
        <color rgb="FF595959"/>
        <rFont val="Arial"/>
        <family val="0"/>
        <charset val="1"/>
      </rPr>
      <t xml:space="preserve">_</t>
    </r>
    <r>
      <rPr>
        <i val="true"/>
        <sz val="9"/>
        <color rgb="FF595959"/>
        <rFont val="WenQuanYi Zen Hei"/>
        <family val="2"/>
      </rPr>
      <t xml:space="preserve">스윙트레이딩  </t>
    </r>
    <r>
      <rPr>
        <i val="true"/>
        <sz val="9"/>
        <color rgb="FF595959"/>
        <rFont val="Arial"/>
        <family val="0"/>
        <charset val="1"/>
      </rPr>
      <t xml:space="preserve">·  </t>
    </r>
    <r>
      <rPr>
        <i val="true"/>
        <sz val="9"/>
        <color rgb="FF595959"/>
        <rFont val="WenQuanYi Zen Hei"/>
        <family val="2"/>
      </rPr>
      <t xml:space="preserve">모든 값은 수식으로 자동 계산됨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직접 수정 금지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</si>
  <si>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종합 성과</t>
  </si>
  <si>
    <t xml:space="preserve">평균 지표</t>
  </si>
  <si>
    <r>
      <rPr>
        <b val="true"/>
        <sz val="11"/>
        <color rgb="FFFFFFFF"/>
        <rFont val="WenQuanYi Zen Hei"/>
        <family val="2"/>
      </rPr>
      <t xml:space="preserve">최고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최악</t>
    </r>
  </si>
  <si>
    <t xml:space="preserve">청산 거래 수</t>
  </si>
  <si>
    <t xml:space="preserve">평균 수익</t>
  </si>
  <si>
    <t xml:space="preserve">최대 수익 거래</t>
  </si>
  <si>
    <t xml:space="preserve">보유중 거래 수</t>
  </si>
  <si>
    <t xml:space="preserve">평균 손실</t>
  </si>
  <si>
    <t xml:space="preserve">  └ 종목</t>
  </si>
  <si>
    <t xml:space="preserve">수익 거래 수</t>
  </si>
  <si>
    <r>
      <rPr>
        <sz val="10"/>
        <rFont val="WenQuanYi Zen Hei"/>
        <family val="2"/>
      </rPr>
      <t xml:space="preserve">평균 손익비 </t>
    </r>
    <r>
      <rPr>
        <sz val="10"/>
        <rFont val="Arial"/>
        <family val="0"/>
        <charset val="1"/>
      </rPr>
      <t xml:space="preserve">(R/R)</t>
    </r>
  </si>
  <si>
    <t xml:space="preserve">최대 손실 거래</t>
  </si>
  <si>
    <t xml:space="preserve">손실 거래 수</t>
  </si>
  <si>
    <t xml:space="preserve">전체 평균 수익률</t>
  </si>
  <si>
    <t xml:space="preserve">수익 거래 평균 수익률</t>
  </si>
  <si>
    <t xml:space="preserve">최고 수익률</t>
  </si>
  <si>
    <t xml:space="preserve">총 실현손익</t>
  </si>
  <si>
    <t xml:space="preserve">손실 거래 평균 수익률</t>
  </si>
  <si>
    <t xml:space="preserve">최저 수익률</t>
  </si>
  <si>
    <t xml:space="preserve">총 수익 합계</t>
  </si>
  <si>
    <t xml:space="preserve">평균 보유일수</t>
  </si>
  <si>
    <r>
      <rPr>
        <sz val="10"/>
        <rFont val="WenQuanYi Zen Hei"/>
        <family val="2"/>
      </rPr>
      <t xml:space="preserve">최장 보유일수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청산</t>
    </r>
    <r>
      <rPr>
        <sz val="10"/>
        <rFont val="Arial"/>
        <family val="0"/>
        <charset val="1"/>
      </rPr>
      <t xml:space="preserve">)</t>
    </r>
  </si>
  <si>
    <t xml:space="preserve">총 손실 합계</t>
  </si>
  <si>
    <t xml:space="preserve">수익 거래 평균 보유일수</t>
  </si>
  <si>
    <r>
      <rPr>
        <sz val="10"/>
        <rFont val="WenQuanYi Zen Hei"/>
        <family val="2"/>
      </rPr>
      <t xml:space="preserve">총 매수금액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누적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</si>
  <si>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손익비 </t>
    </r>
    <r>
      <rPr>
        <sz val="10"/>
        <rFont val="Arial"/>
        <family val="0"/>
        <charset val="1"/>
      </rPr>
      <t xml:space="preserve">(Profit Factor)</t>
    </r>
  </si>
  <si>
    <t xml:space="preserve">손실 거래 평균 보유일수</t>
  </si>
  <si>
    <t xml:space="preserve">현재 보유중 투입원금</t>
  </si>
  <si>
    <r>
      <rPr>
        <sz val="10"/>
        <rFont val="WenQuanYi Zen Hei"/>
        <family val="2"/>
      </rPr>
      <t xml:space="preserve">기대값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거래당</t>
    </r>
    <r>
      <rPr>
        <sz val="10"/>
        <rFont val="Arial"/>
        <family val="0"/>
        <charset val="1"/>
      </rPr>
      <t xml:space="preserve">)</t>
    </r>
  </si>
  <si>
    <t xml:space="preserve">최대 연속 수익</t>
  </si>
  <si>
    <t xml:space="preserve">초기자본 대비 수익률</t>
  </si>
  <si>
    <t xml:space="preserve">총 거래비용</t>
  </si>
  <si>
    <t xml:space="preserve">최대 연속 손실</t>
  </si>
  <si>
    <r>
      <rPr>
        <sz val="10"/>
        <rFont val="WenQuanYi Zen Hei"/>
        <family val="2"/>
      </rPr>
      <t xml:space="preserve">비용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총수익 비중</t>
    </r>
  </si>
  <si>
    <t xml:space="preserve">월별 성과</t>
  </si>
  <si>
    <t xml:space="preserve">월</t>
  </si>
  <si>
    <t xml:space="preserve">청산
건수</t>
  </si>
  <si>
    <t xml:space="preserve">실현손익</t>
  </si>
  <si>
    <t xml:space="preserve">누적 실현손익</t>
  </si>
  <si>
    <t xml:space="preserve">최대 수익</t>
  </si>
  <si>
    <t xml:space="preserve">최대 손실</t>
  </si>
  <si>
    <t xml:space="preserve">평균 수익률</t>
  </si>
  <si>
    <t xml:space="preserve">합계</t>
  </si>
  <si>
    <r>
      <rPr>
        <b val="true"/>
        <sz val="11"/>
        <color rgb="FFFFFFFF"/>
        <rFont val="WenQuanYi Zen Hei"/>
        <family val="2"/>
      </rPr>
      <t xml:space="preserve">수익 </t>
    </r>
    <r>
      <rPr>
        <b val="true"/>
        <sz val="11"/>
        <color rgb="FFFFFFFF"/>
        <rFont val="Arial"/>
        <family val="0"/>
        <charset val="1"/>
      </rPr>
      <t xml:space="preserve">TOP 5</t>
    </r>
  </si>
  <si>
    <t xml:space="preserve">순위</t>
  </si>
  <si>
    <r>
      <rPr>
        <b val="true"/>
        <sz val="11"/>
        <color rgb="FFFFFFFF"/>
        <rFont val="WenQuanYi Zen Hei"/>
        <family val="2"/>
      </rPr>
      <t xml:space="preserve">손실 </t>
    </r>
    <r>
      <rPr>
        <b val="true"/>
        <sz val="11"/>
        <color rgb="FFFFFFFF"/>
        <rFont val="Arial"/>
        <family val="0"/>
        <charset val="1"/>
      </rPr>
      <t xml:space="preserve">TOP 5</t>
    </r>
  </si>
  <si>
    <r>
      <rPr>
        <b val="true"/>
        <sz val="11"/>
        <color rgb="FFFFFFFF"/>
        <rFont val="WenQuanYi Zen Hei"/>
        <family val="2"/>
      </rPr>
      <t xml:space="preserve">종목별 요약 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종목명 칸에 직접 입력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</si>
  <si>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종목명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입력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</si>
  <si>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매수금액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청산분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</si>
  <si>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매매유형별 요약</t>
  </si>
  <si>
    <t xml:space="preserve">실적</t>
  </si>
  <si>
    <t xml:space="preserve">배당</t>
  </si>
  <si>
    <t xml:space="preserve">테마</t>
  </si>
  <si>
    <t xml:space="preserve">분할매수</t>
  </si>
  <si>
    <t xml:space="preserve">역추세</t>
  </si>
  <si>
    <t xml:space="preserve">기타</t>
  </si>
  <si>
    <r>
      <rPr>
        <i val="true"/>
        <sz val="9"/>
        <color rgb="FF833C00"/>
        <rFont val="Arial"/>
        <family val="0"/>
        <charset val="1"/>
      </rPr>
      <t xml:space="preserve">※ TOP 5 </t>
    </r>
    <r>
      <rPr>
        <i val="true"/>
        <sz val="9"/>
        <color rgb="FF833C00"/>
        <rFont val="WenQuanYi Zen Hei"/>
        <family val="2"/>
      </rPr>
      <t xml:space="preserve">표는 순손익이 완전히 동일한 거래가 둘 이상이면 첫 번째 거래만 반복 표시된다</t>
    </r>
    <r>
      <rPr>
        <i val="true"/>
        <sz val="9"/>
        <color rgb="FF833C00"/>
        <rFont val="Arial"/>
        <family val="0"/>
        <charset val="1"/>
      </rPr>
      <t xml:space="preserve">. ※ </t>
    </r>
    <r>
      <rPr>
        <i val="true"/>
        <sz val="9"/>
        <color rgb="FF833C00"/>
        <rFont val="WenQuanYi Zen Hei"/>
        <family val="2"/>
      </rPr>
      <t xml:space="preserve">최대 연속 수익</t>
    </r>
    <r>
      <rPr>
        <i val="true"/>
        <sz val="9"/>
        <color rgb="FF833C00"/>
        <rFont val="Arial"/>
        <family val="0"/>
        <charset val="1"/>
      </rPr>
      <t xml:space="preserve">/</t>
    </r>
    <r>
      <rPr>
        <i val="true"/>
        <sz val="9"/>
        <color rgb="FF833C00"/>
        <rFont val="WenQuanYi Zen Hei"/>
        <family val="2"/>
      </rPr>
      <t xml:space="preserve">손실은 장부의 행 순서 기준이므로 매수일자 오름차순 정렬을 유지할 것</t>
    </r>
    <r>
      <rPr>
        <i val="true"/>
        <sz val="9"/>
        <color rgb="FF833C00"/>
        <rFont val="Arial"/>
        <family val="0"/>
        <charset val="1"/>
      </rPr>
      <t xml:space="preserve">. ※ '</t>
    </r>
    <r>
      <rPr>
        <i val="true"/>
        <sz val="9"/>
        <color rgb="FF833C00"/>
        <rFont val="WenQuanYi Zen Hei"/>
        <family val="2"/>
      </rPr>
      <t xml:space="preserve">초기자본 대비 수익률</t>
    </r>
    <r>
      <rPr>
        <i val="true"/>
        <sz val="9"/>
        <color rgb="FF833C00"/>
        <rFont val="Arial"/>
        <family val="0"/>
        <charset val="1"/>
      </rPr>
      <t xml:space="preserve">'</t>
    </r>
    <r>
      <rPr>
        <i val="true"/>
        <sz val="9"/>
        <color rgb="FF833C00"/>
        <rFont val="WenQuanYi Zen Hei"/>
        <family val="2"/>
      </rPr>
      <t xml:space="preserve">은 설정 시트의 초기 투자원금을 분모로 쓴다</t>
    </r>
    <r>
      <rPr>
        <i val="true"/>
        <sz val="9"/>
        <color rgb="FF833C00"/>
        <rFont val="Arial"/>
        <family val="0"/>
        <charset val="1"/>
      </rPr>
      <t xml:space="preserve">.</t>
    </r>
  </si>
  <si>
    <r>
      <rPr>
        <b val="true"/>
        <sz val="14"/>
        <color rgb="FFFFFFFF"/>
        <rFont val="WenQuanYi Zen Hei"/>
        <family val="2"/>
      </rPr>
      <t xml:space="preserve">증권사 거래내역 원본 </t>
    </r>
    <r>
      <rPr>
        <b val="true"/>
        <sz val="14"/>
        <color rgb="FFFFFFFF"/>
        <rFont val="Arial"/>
        <family val="0"/>
        <charset val="1"/>
      </rPr>
      <t xml:space="preserve">(</t>
    </r>
    <r>
      <rPr>
        <b val="true"/>
        <sz val="14"/>
        <color rgb="FFFFFFFF"/>
        <rFont val="WenQuanYi Zen Hei"/>
        <family val="2"/>
      </rPr>
      <t xml:space="preserve">보관용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</si>
  <si>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i val="true"/>
        <sz val="9"/>
        <color rgb="FF833C00"/>
        <rFont val="Arial"/>
        <family val="0"/>
        <charset val="1"/>
      </rPr>
      <t xml:space="preserve">HTS/MTS</t>
    </r>
    <r>
      <rPr>
        <i val="true"/>
        <sz val="9"/>
        <color rgb="FF833C00"/>
        <rFont val="WenQuanYi Zen Hei"/>
        <family val="2"/>
      </rPr>
      <t xml:space="preserve">에서 내려받은 거래내역을 </t>
    </r>
    <r>
      <rPr>
        <i val="true"/>
        <sz val="9"/>
        <color rgb="FF833C00"/>
        <rFont val="Arial"/>
        <family val="0"/>
        <charset val="1"/>
      </rPr>
      <t xml:space="preserve">3</t>
    </r>
    <r>
      <rPr>
        <i val="true"/>
        <sz val="9"/>
        <color rgb="FF833C00"/>
        <rFont val="WenQuanYi Zen Hei"/>
        <family val="2"/>
      </rPr>
      <t xml:space="preserve">행부터 그대로 붙여넣는다</t>
    </r>
    <r>
      <rPr>
        <i val="true"/>
        <sz val="9"/>
        <color rgb="FF833C00"/>
        <rFont val="Arial"/>
        <family val="0"/>
        <charset val="1"/>
      </rPr>
      <t xml:space="preserve">. </t>
    </r>
    <r>
      <rPr>
        <i val="true"/>
        <sz val="9"/>
        <color rgb="FF833C00"/>
        <rFont val="WenQuanYi Zen Hei"/>
        <family val="2"/>
      </rPr>
      <t xml:space="preserve">한 거래가 두 줄</t>
    </r>
    <r>
      <rPr>
        <i val="true"/>
        <sz val="9"/>
        <color rgb="FF833C00"/>
        <rFont val="Arial"/>
        <family val="0"/>
        <charset val="1"/>
      </rPr>
      <t xml:space="preserve">(</t>
    </r>
    <r>
      <rPr>
        <i val="true"/>
        <sz val="9"/>
        <color rgb="FF833C00"/>
        <rFont val="WenQuanYi Zen Hei"/>
        <family val="2"/>
      </rPr>
      <t xml:space="preserve">윗줄</t>
    </r>
    <r>
      <rPr>
        <i val="true"/>
        <sz val="9"/>
        <color rgb="FF833C00"/>
        <rFont val="Arial"/>
        <family val="0"/>
        <charset val="1"/>
      </rPr>
      <t xml:space="preserve">/</t>
    </r>
    <r>
      <rPr>
        <i val="true"/>
        <sz val="9"/>
        <color rgb="FF833C00"/>
        <rFont val="WenQuanYi Zen Hei"/>
        <family val="2"/>
      </rPr>
      <t xml:space="preserve">아랫줄</t>
    </r>
    <r>
      <rPr>
        <i val="true"/>
        <sz val="9"/>
        <color rgb="FF833C00"/>
        <rFont val="Arial"/>
        <family val="0"/>
        <charset val="1"/>
      </rPr>
      <t xml:space="preserve">)</t>
    </r>
    <r>
      <rPr>
        <i val="true"/>
        <sz val="9"/>
        <color rgb="FF833C00"/>
        <rFont val="WenQuanYi Zen Hei"/>
        <family val="2"/>
      </rPr>
      <t xml:space="preserve">로 구성된 증권사 양식 그대로 보관하는 시트이며</t>
    </r>
    <r>
      <rPr>
        <i val="true"/>
        <sz val="9"/>
        <color rgb="FF833C00"/>
        <rFont val="Arial"/>
        <family val="0"/>
        <charset val="1"/>
      </rPr>
      <t xml:space="preserve">, </t>
    </r>
    <r>
      <rPr>
        <i val="true"/>
        <sz val="9"/>
        <color rgb="FF833C00"/>
        <rFont val="WenQuanYi Zen Hei"/>
        <family val="2"/>
      </rPr>
      <t xml:space="preserve">손익 계산에는 사용되지 않는다</t>
    </r>
    <r>
      <rPr>
        <i val="true"/>
        <sz val="9"/>
        <color rgb="FF833C00"/>
        <rFont val="Arial"/>
        <family val="0"/>
        <charset val="1"/>
      </rPr>
      <t xml:space="preserve">. </t>
    </r>
    <r>
      <rPr>
        <i val="true"/>
        <sz val="9"/>
        <color rgb="FF833C00"/>
        <rFont val="WenQuanYi Zen Hei"/>
        <family val="2"/>
      </rPr>
      <t xml:space="preserve">매매 손익은 거래장부 시트에 정리해서 입력할 것</t>
    </r>
    <r>
      <rPr>
        <i val="true"/>
        <sz val="9"/>
        <color rgb="FF833C00"/>
        <rFont val="Arial"/>
        <family val="0"/>
        <charset val="1"/>
      </rPr>
      <t xml:space="preserve">.</t>
    </r>
  </si>
  <si>
    <t xml:space="preserve">거래일자</t>
  </si>
  <si>
    <t xml:space="preserve">거래번호</t>
  </si>
  <si>
    <t xml:space="preserve">거래적요</t>
  </si>
  <si>
    <t xml:space="preserve">수수료</t>
  </si>
  <si>
    <t xml:space="preserve">세전이자</t>
  </si>
  <si>
    <t xml:space="preserve">거래금액</t>
  </si>
  <si>
    <r>
      <rPr>
        <b val="true"/>
        <sz val="9"/>
        <color rgb="FFFFFFFF"/>
        <rFont val="WenQuanYi Zen Hei"/>
        <family val="2"/>
      </rPr>
      <t xml:space="preserve">미수발생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WenQuanYi Zen Hei"/>
        <family val="2"/>
      </rPr>
      <t xml:space="preserve">변제금</t>
    </r>
  </si>
  <si>
    <t xml:space="preserve">질권자</t>
  </si>
  <si>
    <t xml:space="preserve">예수금잔고</t>
  </si>
  <si>
    <t xml:space="preserve">거래원금</t>
  </si>
  <si>
    <r>
      <rPr>
        <b val="true"/>
        <sz val="9"/>
        <color rgb="FFFFFFFF"/>
        <rFont val="WenQuanYi Zen Hei"/>
        <family val="2"/>
      </rPr>
      <t xml:space="preserve">매수일자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WenQuanYi Zen Hei"/>
        <family val="2"/>
      </rPr>
      <t xml:space="preserve">질권설정일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WenQuanYi Zen Hei"/>
        <family val="2"/>
      </rPr>
      <t xml:space="preserve">출고일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</si>
  <si>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경과일수</t>
  </si>
  <si>
    <t xml:space="preserve">통화구분</t>
  </si>
  <si>
    <t xml:space="preserve">처리지점</t>
  </si>
  <si>
    <t xml:space="preserve">거래원번</t>
  </si>
  <si>
    <t xml:space="preserve">관련계좌</t>
  </si>
  <si>
    <t xml:space="preserve">단가</t>
  </si>
  <si>
    <t xml:space="preserve">신용이자</t>
  </si>
  <si>
    <t xml:space="preserve">반영금액</t>
  </si>
  <si>
    <r>
      <rPr>
        <b val="true"/>
        <sz val="9"/>
        <color rgb="FFFFFFFF"/>
        <rFont val="WenQuanYi Zen Hei"/>
        <family val="2"/>
      </rPr>
      <t xml:space="preserve">융자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WenQuanYi Zen Hei"/>
        <family val="2"/>
      </rPr>
      <t xml:space="preserve">대주금액</t>
    </r>
  </si>
  <si>
    <t xml:space="preserve">질권설정수량</t>
  </si>
  <si>
    <t xml:space="preserve">유가증권잔고</t>
  </si>
  <si>
    <t xml:space="preserve">원금잔액</t>
  </si>
  <si>
    <t xml:space="preserve">만기일자</t>
  </si>
  <si>
    <t xml:space="preserve">적용금리</t>
  </si>
  <si>
    <t xml:space="preserve">외화예수금잔고</t>
  </si>
  <si>
    <t xml:space="preserve">2025-12-09</t>
  </si>
  <si>
    <t xml:space="preserve">전자계좌입금</t>
  </si>
  <si>
    <t xml:space="preserve">디지털센터</t>
  </si>
  <si>
    <r>
      <rPr>
        <sz val="9"/>
        <color rgb="FF0000FF"/>
        <rFont val="WenQuanYi Zen Hei"/>
        <family val="2"/>
      </rPr>
      <t xml:space="preserve">하나은행</t>
    </r>
    <r>
      <rPr>
        <sz val="9"/>
        <color rgb="FF0000FF"/>
        <rFont val="Arial"/>
        <family val="0"/>
        <charset val="1"/>
      </rPr>
      <t xml:space="preserve">/</t>
    </r>
    <r>
      <rPr>
        <sz val="9"/>
        <color rgb="FF0000FF"/>
        <rFont val="WenQuanYi Zen Hei"/>
        <family val="2"/>
      </rPr>
      <t xml:space="preserve">안현준</t>
    </r>
  </si>
  <si>
    <t xml:space="preserve">2025-10-17</t>
  </si>
  <si>
    <t xml:space="preserve">2025-10-19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</si>
</sst>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@"/>
    <numFmt numFmtId="166" formatCode="#,##0;\(#,##0\);\-"/>
    <numFmt numFmtId="167" formatCode="yyyy\-mm"/>
    <numFmt numFmtId="168" formatCode="0.000%"/>
    <numFmt numFmtId="169" formatCode="0.0%"/>
    <numFmt numFmtId="170" formatCode="#,##0;[RED]\(#,##0\);\-"/>
    <numFmt numFmtId="171" formatCode="0"/>
    <numFmt numFmtId="172" formatCode="yyyy\-mm\-dd"/>
    <numFmt numFmtId="173" formatCode="#,##0.##"/>
    <numFmt numFmtId="174" formatCode="#,##0"/>
    <numFmt numFmtId="175" formatCode="0.00%;[RED]\(0.00%\);\-"/>
    <numFmt numFmtId="176" formatCode="#,##0;;\-"/>
    <numFmt numFmtId="177" formatCode="0;;\-"/>
    <numFmt numFmtId="178" formatCode="#,##0.0"/>
    <numFmt numFmtId="179" formatCode="0.00"/>
    <numFmt numFmtId="180" formatCode="0.0%;;\-"/>
    <numFmt numFmtId="181" formatCode="0\위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WenQuanYi Zen Hei"/>
      <family val="2"/>
    </font>
    <font>
      <b val="true"/>
      <sz val="14"/>
      <color rgb="FFFFFFFF"/>
      <name val="Arial"/>
      <family val="0"/>
      <charset val="1"/>
    </font>
    <font>
      <b val="true"/>
      <sz val="11"/>
      <color rgb="FF1F386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0000FF"/>
      <name val="WenQuanYi Zen Hei"/>
      <family val="2"/>
    </font>
    <font>
      <b val="true"/>
      <sz val="10"/>
      <color rgb="FF0000FF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WenQuanYi Zen Hei"/>
      <family val="2"/>
    </font>
    <font>
      <i val="true"/>
      <sz val="9"/>
      <color rgb="FF833C00"/>
      <name val="WenQuanYi Zen Hei"/>
      <family val="2"/>
    </font>
    <font>
      <i val="true"/>
      <sz val="9"/>
      <color rgb="FF833C00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b val="true"/>
      <sz val="10"/>
      <color rgb="FF000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9"/>
      <color rgb="FF595959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9"/>
      <color rgb="FFFFFFFF"/>
      <name val="WenQuanYi Zen Hei"/>
      <family val="2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FF"/>
      <name val="WenQuanYi Zen He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2F5597"/>
        <bgColor rgb="FF1F3864"/>
      </patternFill>
    </fill>
    <fill>
      <patternFill patternType="solid">
        <fgColor rgb="FFFFF2CC"/>
        <bgColor rgb="FFFCE4D6"/>
      </patternFill>
    </fill>
    <fill>
      <patternFill patternType="solid">
        <fgColor rgb="FF808080"/>
        <bgColor rgb="FF878787"/>
      </patternFill>
    </fill>
    <fill>
      <patternFill patternType="solid">
        <fgColor rgb="FFF2F2F2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5B7DB1"/>
        <bgColor rgb="FF4F81BD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1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31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31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1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9" fontId="31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5" fontId="31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31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8" fontId="31" fillId="6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2F559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006100"/>
      </font>
    </dxf>
    <dxf>
      <font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FAFAFA"/>
      <rgbColor rgb="FFFCE4D6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B7DB1"/>
      <rgbColor rgb="FF878787"/>
      <rgbColor rgb="FF1F3864"/>
      <rgbColor rgb="FF4F81BD"/>
      <rgbColor rgb="FF006100"/>
      <rgbColor rgb="FF333300"/>
      <rgbColor rgb="FF833C00"/>
      <rgbColor rgb="FF993366"/>
      <rgbColor rgb="FF2F5597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실현손익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대시보드_스윙트레이딩!D20</c:f>
              <c:strCache>
                <c:ptCount val="1"/>
                <c:pt idx="0">
                  <c:v>실현손익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대시보드_스윙트레이딩!$B$21:$B$44</c:f>
              <c:strCache>
                <c:ptCount val="24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  <c:pt idx="12">
                  <c:v>2026-10</c:v>
                </c:pt>
                <c:pt idx="13">
                  <c:v>2026-11</c:v>
                </c:pt>
                <c:pt idx="14">
                  <c:v>2026-12</c:v>
                </c:pt>
                <c:pt idx="15">
                  <c:v>2027-01</c:v>
                </c:pt>
                <c:pt idx="16">
                  <c:v>2027-02</c:v>
                </c:pt>
                <c:pt idx="17">
                  <c:v>2027-03</c:v>
                </c:pt>
                <c:pt idx="18">
                  <c:v>2027-04</c:v>
                </c:pt>
                <c:pt idx="19">
                  <c:v>2027-05</c:v>
                </c:pt>
                <c:pt idx="20">
                  <c:v>2027-06</c:v>
                </c:pt>
                <c:pt idx="21">
                  <c:v>2027-07</c:v>
                </c:pt>
                <c:pt idx="22">
                  <c:v>2027-08</c:v>
                </c:pt>
                <c:pt idx="23">
                  <c:v>2027-09</c:v>
                </c:pt>
              </c:strCache>
            </c:strRef>
          </c:cat>
          <c:val>
            <c:numRef>
              <c:f>대시보드_스윙트레이딩!$D$21:$D$44</c:f>
              <c:numCache>
                <c:formatCode>#,##0;[RED]\(#,##0\);\-</c:formatCode>
                <c:ptCount val="24"/>
                <c:pt idx="0">
                  <c:v>0</c:v>
                </c:pt>
                <c:pt idx="1">
                  <c:v>90911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gapWidth val="40"/>
        <c:overlap val="0"/>
        <c:axId val="37443057"/>
        <c:axId val="72918984"/>
      </c:barChart>
      <c:catAx>
        <c:axId val="37443057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18984"/>
        <c:crosses val="autoZero"/>
        <c:auto val="1"/>
        <c:lblAlgn val="ctr"/>
        <c:lblOffset val="100"/>
        <c:noMultiLvlLbl val="0"/>
      </c:catAx>
      <c:valAx>
        <c:axId val="729189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430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누적 실현손익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대시보드_스윙트레이딩!E20</c:f>
              <c:strCache>
                <c:ptCount val="1"/>
                <c:pt idx="0">
                  <c:v>누적 실현손익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대시보드_스윙트레이딩!$B$21:$B$44</c:f>
              <c:strCache>
                <c:ptCount val="24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  <c:pt idx="12">
                  <c:v>2026-10</c:v>
                </c:pt>
                <c:pt idx="13">
                  <c:v>2026-11</c:v>
                </c:pt>
                <c:pt idx="14">
                  <c:v>2026-12</c:v>
                </c:pt>
                <c:pt idx="15">
                  <c:v>2027-01</c:v>
                </c:pt>
                <c:pt idx="16">
                  <c:v>2027-02</c:v>
                </c:pt>
                <c:pt idx="17">
                  <c:v>2027-03</c:v>
                </c:pt>
                <c:pt idx="18">
                  <c:v>2027-04</c:v>
                </c:pt>
                <c:pt idx="19">
                  <c:v>2027-05</c:v>
                </c:pt>
                <c:pt idx="20">
                  <c:v>2027-06</c:v>
                </c:pt>
                <c:pt idx="21">
                  <c:v>2027-07</c:v>
                </c:pt>
                <c:pt idx="22">
                  <c:v>2027-08</c:v>
                </c:pt>
                <c:pt idx="23">
                  <c:v>2027-09</c:v>
                </c:pt>
              </c:strCache>
            </c:strRef>
          </c:cat>
          <c:val>
            <c:numRef>
              <c:f>대시보드_스윙트레이딩!$E$21:$E$44</c:f>
              <c:numCache>
                <c:formatCode>#,##0;[RED]\(#,##0\);\-</c:formatCode>
                <c:ptCount val="24"/>
                <c:pt idx="0">
                  <c:v>0</c:v>
                </c:pt>
                <c:pt idx="1">
                  <c:v>90911</c:v>
                </c:pt>
                <c:pt idx="2">
                  <c:v>90911</c:v>
                </c:pt>
                <c:pt idx="3">
                  <c:v>90911</c:v>
                </c:pt>
                <c:pt idx="4">
                  <c:v>90911</c:v>
                </c:pt>
                <c:pt idx="5">
                  <c:v>90911</c:v>
                </c:pt>
                <c:pt idx="6">
                  <c:v>90911</c:v>
                </c:pt>
                <c:pt idx="7">
                  <c:v>90911</c:v>
                </c:pt>
                <c:pt idx="8">
                  <c:v>90911</c:v>
                </c:pt>
                <c:pt idx="9">
                  <c:v>90911</c:v>
                </c:pt>
                <c:pt idx="10">
                  <c:v>90911</c:v>
                </c:pt>
                <c:pt idx="11">
                  <c:v>90911</c:v>
                </c:pt>
                <c:pt idx="12">
                  <c:v>90911</c:v>
                </c:pt>
                <c:pt idx="13">
                  <c:v>90911</c:v>
                </c:pt>
                <c:pt idx="14">
                  <c:v>90911</c:v>
                </c:pt>
                <c:pt idx="15">
                  <c:v>90911</c:v>
                </c:pt>
                <c:pt idx="16">
                  <c:v>90911</c:v>
                </c:pt>
                <c:pt idx="17">
                  <c:v>90911</c:v>
                </c:pt>
                <c:pt idx="18">
                  <c:v>90911</c:v>
                </c:pt>
                <c:pt idx="19">
                  <c:v>90911</c:v>
                </c:pt>
                <c:pt idx="20">
                  <c:v>90911</c:v>
                </c:pt>
                <c:pt idx="21">
                  <c:v>90911</c:v>
                </c:pt>
                <c:pt idx="22">
                  <c:v>90911</c:v>
                </c:pt>
                <c:pt idx="23">
                  <c:v>90911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083109"/>
        <c:axId val="93976053"/>
      </c:lineChart>
      <c:catAx>
        <c:axId val="91083109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76053"/>
        <c:crosses val="autoZero"/>
        <c:auto val="1"/>
        <c:lblAlgn val="ctr"/>
        <c:lblOffset val="100"/>
        <c:noMultiLvlLbl val="0"/>
      </c:catAx>
      <c:valAx>
        <c:axId val="939760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831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18</xdr:row>
      <xdr:rowOff>0</xdr:rowOff>
    </xdr:from>
    <xdr:to>
      <xdr:col>15</xdr:col>
      <xdr:colOff>696600</xdr:colOff>
      <xdr:row>31</xdr:row>
      <xdr:rowOff>32400</xdr:rowOff>
    </xdr:to>
    <xdr:graphicFrame>
      <xdr:nvGraphicFramePr>
        <xdr:cNvPr id="0" name="Chart 1"/>
        <xdr:cNvGraphicFramePr/>
      </xdr:nvGraphicFramePr>
      <xdr:xfrm>
        <a:off x="13023720" y="35622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34</xdr:row>
      <xdr:rowOff>0</xdr:rowOff>
    </xdr:from>
    <xdr:to>
      <xdr:col>15</xdr:col>
      <xdr:colOff>696600</xdr:colOff>
      <xdr:row>48</xdr:row>
      <xdr:rowOff>32400</xdr:rowOff>
    </xdr:to>
    <xdr:graphicFrame>
      <xdr:nvGraphicFramePr>
        <xdr:cNvPr id="1" name="Chart 2"/>
        <xdr:cNvGraphicFramePr/>
      </xdr:nvGraphicFramePr>
      <xdr:xfrm>
        <a:off x="13023720" y="68007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96"/>
  </cols>
  <sheetData>
    <row r="2" customFormat="false" ht="25.5" hidden="false" customHeight="true" outlineLevel="0" collapsed="false">
      <c r="B2" s="1" t="s">
        <v>0</v>
      </c>
      <c r="C2" s="1"/>
    </row>
    <row r="4" customFormat="false" ht="21.75" hidden="false" customHeight="tru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1" customFormat="false" ht="21.75" hidden="false" customHeight="true" outlineLevel="0" collapsed="false">
      <c r="B11" s="2" t="s">
        <v>12</v>
      </c>
    </row>
    <row r="12" customFormat="false" ht="15" hidden="false" customHeight="false" outlineLevel="0" collapsed="false">
      <c r="B12" s="3" t="s">
        <v>13</v>
      </c>
      <c r="C12" s="4" t="s">
        <v>14</v>
      </c>
    </row>
    <row r="13" customFormat="false" ht="15" hidden="false" customHeight="false" outlineLevel="0" collapsed="false">
      <c r="B13" s="3" t="s">
        <v>15</v>
      </c>
      <c r="C13" s="4" t="s">
        <v>16</v>
      </c>
    </row>
    <row r="14" customFormat="false" ht="15" hidden="false" customHeight="false" outlineLevel="0" collapsed="false">
      <c r="B14" s="3" t="s">
        <v>17</v>
      </c>
      <c r="C14" s="4" t="s">
        <v>18</v>
      </c>
    </row>
    <row r="15" customFormat="false" ht="15" hidden="false" customHeight="false" outlineLevel="0" collapsed="false">
      <c r="B15" s="3" t="s">
        <v>19</v>
      </c>
      <c r="C15" s="4" t="s">
        <v>20</v>
      </c>
    </row>
    <row r="17" customFormat="false" ht="21.75" hidden="false" customHeight="true" outlineLevel="0" collapsed="false">
      <c r="B17" s="2" t="s">
        <v>21</v>
      </c>
    </row>
    <row r="18" customFormat="false" ht="15" hidden="false" customHeight="false" outlineLevel="0" collapsed="false">
      <c r="B18" s="5" t="s">
        <v>22</v>
      </c>
      <c r="C18" s="4" t="s">
        <v>23</v>
      </c>
    </row>
    <row r="19" customFormat="false" ht="15" hidden="false" customHeight="false" outlineLevel="0" collapsed="false">
      <c r="B19" s="5" t="s">
        <v>24</v>
      </c>
      <c r="C19" s="4" t="s">
        <v>25</v>
      </c>
    </row>
    <row r="20" customFormat="false" ht="15" hidden="false" customHeight="false" outlineLevel="0" collapsed="false">
      <c r="B20" s="5" t="s">
        <v>26</v>
      </c>
      <c r="C20" s="4" t="s">
        <v>27</v>
      </c>
    </row>
    <row r="21" customFormat="false" ht="15" hidden="false" customHeight="false" outlineLevel="0" collapsed="false">
      <c r="B21" s="5" t="s">
        <v>28</v>
      </c>
      <c r="C21" s="4" t="s">
        <v>29</v>
      </c>
    </row>
    <row r="22" customFormat="false" ht="15" hidden="false" customHeight="false" outlineLevel="0" collapsed="false">
      <c r="B22" s="5" t="s">
        <v>30</v>
      </c>
      <c r="C22" s="4" t="s">
        <v>31</v>
      </c>
    </row>
    <row r="24" customFormat="false" ht="21.75" hidden="false" customHeight="true" outlineLevel="0" collapsed="false">
      <c r="B24" s="2" t="s">
        <v>32</v>
      </c>
    </row>
    <row r="25" customFormat="false" ht="15" hidden="false" customHeight="false" outlineLevel="0" collapsed="false">
      <c r="B25" s="3" t="s">
        <v>33</v>
      </c>
      <c r="C25" s="4" t="s">
        <v>34</v>
      </c>
    </row>
    <row r="26" customFormat="false" ht="15" hidden="false" customHeight="false" outlineLevel="0" collapsed="false">
      <c r="B26" s="3" t="s">
        <v>35</v>
      </c>
      <c r="C26" s="4" t="s">
        <v>36</v>
      </c>
    </row>
    <row r="27" customFormat="false" ht="15" hidden="false" customHeight="false" outlineLevel="0" collapsed="false">
      <c r="B27" s="3" t="s">
        <v>37</v>
      </c>
      <c r="C27" s="4" t="s">
        <v>38</v>
      </c>
    </row>
    <row r="28" customFormat="false" ht="15" hidden="false" customHeight="false" outlineLevel="0" collapsed="false">
      <c r="B28" s="3" t="s">
        <v>39</v>
      </c>
      <c r="C28" s="4" t="s">
        <v>40</v>
      </c>
    </row>
    <row r="29" customFormat="false" ht="15" hidden="false" customHeight="false" outlineLevel="0" collapsed="false">
      <c r="B29" s="3" t="s">
        <v>41</v>
      </c>
      <c r="C29" s="4" t="s">
        <v>42</v>
      </c>
    </row>
    <row r="30" customFormat="false" ht="15" hidden="false" customHeight="false" outlineLevel="0" collapsed="false">
      <c r="B30" s="3" t="s">
        <v>43</v>
      </c>
      <c r="C30" s="4" t="s">
        <v>44</v>
      </c>
    </row>
    <row r="31" customFormat="false" ht="15" hidden="false" customHeight="false" outlineLevel="0" collapsed="false">
      <c r="B31" s="3" t="s">
        <v>45</v>
      </c>
      <c r="C31" s="4" t="s">
        <v>46</v>
      </c>
    </row>
    <row r="32" customFormat="false" ht="15" hidden="false" customHeight="false" outlineLevel="0" collapsed="false">
      <c r="B32" s="3" t="s">
        <v>47</v>
      </c>
      <c r="C32" s="4" t="s">
        <v>48</v>
      </c>
    </row>
    <row r="34" customFormat="false" ht="21.75" hidden="false" customHeight="true" outlineLevel="0" collapsed="false">
      <c r="B34" s="2" t="s">
        <v>49</v>
      </c>
    </row>
    <row r="35" customFormat="false" ht="15" hidden="false" customHeight="false" outlineLevel="0" collapsed="false">
      <c r="B35" s="3" t="s">
        <v>50</v>
      </c>
      <c r="C35" s="6" t="s">
        <v>51</v>
      </c>
    </row>
    <row r="36" customFormat="false" ht="25.35" hidden="false" customHeight="false" outlineLevel="0" collapsed="false">
      <c r="B36" s="3" t="s">
        <v>52</v>
      </c>
      <c r="C36" s="4" t="s">
        <v>53</v>
      </c>
    </row>
    <row r="37" customFormat="false" ht="15" hidden="false" customHeight="false" outlineLevel="0" collapsed="false">
      <c r="B37" s="3" t="s">
        <v>54</v>
      </c>
      <c r="C37" s="4" t="s">
        <v>55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62"/>
  </cols>
  <sheetData>
    <row r="2" customFormat="false" ht="25.5" hidden="false" customHeight="true" outlineLevel="0" collapsed="false">
      <c r="B2" s="1" t="s">
        <v>56</v>
      </c>
      <c r="C2" s="1"/>
      <c r="D2" s="1"/>
    </row>
    <row r="4" customFormat="false" ht="15" hidden="false" customHeight="false" outlineLevel="0" collapsed="false">
      <c r="B4" s="7" t="s">
        <v>57</v>
      </c>
      <c r="C4" s="7" t="s">
        <v>58</v>
      </c>
      <c r="D4" s="7" t="s">
        <v>59</v>
      </c>
    </row>
    <row r="5" customFormat="false" ht="15" hidden="false" customHeight="false" outlineLevel="0" collapsed="false">
      <c r="B5" s="8" t="s">
        <v>60</v>
      </c>
      <c r="C5" s="9" t="s">
        <v>61</v>
      </c>
      <c r="D5" s="10" t="s">
        <v>62</v>
      </c>
    </row>
    <row r="6" customFormat="false" ht="15" hidden="false" customHeight="false" outlineLevel="0" collapsed="false">
      <c r="B6" s="8" t="s">
        <v>63</v>
      </c>
      <c r="C6" s="11" t="s">
        <v>64</v>
      </c>
      <c r="D6" s="10" t="s">
        <v>65</v>
      </c>
    </row>
    <row r="7" customFormat="false" ht="15" hidden="false" customHeight="false" outlineLevel="0" collapsed="false">
      <c r="B7" s="8" t="s">
        <v>66</v>
      </c>
      <c r="C7" s="12" t="n">
        <v>4000000</v>
      </c>
      <c r="D7" s="10" t="s">
        <v>67</v>
      </c>
    </row>
    <row r="8" customFormat="false" ht="15" hidden="false" customHeight="false" outlineLevel="0" collapsed="false">
      <c r="B8" s="8" t="s">
        <v>68</v>
      </c>
      <c r="C8" s="13" t="n">
        <v>45931</v>
      </c>
      <c r="D8" s="10" t="s">
        <v>69</v>
      </c>
    </row>
    <row r="9" customFormat="false" ht="15" hidden="false" customHeight="false" outlineLevel="0" collapsed="false">
      <c r="B9" s="8" t="s">
        <v>70</v>
      </c>
      <c r="C9" s="14" t="n">
        <v>0.00015</v>
      </c>
      <c r="D9" s="10" t="s">
        <v>71</v>
      </c>
    </row>
    <row r="10" customFormat="false" ht="15" hidden="false" customHeight="false" outlineLevel="0" collapsed="false">
      <c r="B10" s="8" t="s">
        <v>72</v>
      </c>
      <c r="C10" s="14" t="n">
        <v>0.00015</v>
      </c>
      <c r="D10" s="10" t="s">
        <v>73</v>
      </c>
    </row>
    <row r="11" customFormat="false" ht="15" hidden="false" customHeight="false" outlineLevel="0" collapsed="false">
      <c r="B11" s="8" t="s">
        <v>74</v>
      </c>
      <c r="C11" s="14" t="n">
        <v>0.0018</v>
      </c>
      <c r="D11" s="15" t="s">
        <v>75</v>
      </c>
    </row>
    <row r="12" customFormat="false" ht="15" hidden="false" customHeight="false" outlineLevel="0" collapsed="false">
      <c r="B12" s="16" t="s">
        <v>76</v>
      </c>
      <c r="C12" s="17" t="n">
        <v>0.02</v>
      </c>
      <c r="D12" s="10" t="s">
        <v>77</v>
      </c>
    </row>
    <row r="14" customFormat="false" ht="15" hidden="false" customHeight="false" outlineLevel="0" collapsed="false">
      <c r="B14" s="18" t="s">
        <v>78</v>
      </c>
      <c r="C14" s="19"/>
      <c r="D14" s="19"/>
    </row>
    <row r="15" customFormat="false" ht="15" hidden="false" customHeight="false" outlineLevel="0" collapsed="false">
      <c r="B15" s="7" t="s">
        <v>79</v>
      </c>
      <c r="C15" s="7" t="s">
        <v>80</v>
      </c>
      <c r="D15" s="7" t="s">
        <v>59</v>
      </c>
    </row>
    <row r="16" customFormat="false" ht="15" hidden="false" customHeight="false" outlineLevel="0" collapsed="false">
      <c r="B16" s="20" t="s">
        <v>81</v>
      </c>
      <c r="C16" s="21" t="s">
        <v>82</v>
      </c>
      <c r="D16" s="22" t="s">
        <v>83</v>
      </c>
    </row>
    <row r="18" customFormat="false" ht="15" hidden="false" customHeight="false" outlineLevel="0" collapsed="false">
      <c r="B18" s="18" t="s">
        <v>84</v>
      </c>
      <c r="C18" s="19"/>
      <c r="D18" s="19"/>
    </row>
    <row r="19" customFormat="false" ht="15" hidden="false" customHeight="false" outlineLevel="0" collapsed="false">
      <c r="B19" s="23" t="s">
        <v>85</v>
      </c>
      <c r="C19" s="24" t="s">
        <v>86</v>
      </c>
      <c r="D19" s="25" t="s">
        <v>87</v>
      </c>
    </row>
    <row r="21" customFormat="false" ht="15" hidden="false" customHeight="false" outlineLevel="0" collapsed="false">
      <c r="B21" s="26" t="s">
        <v>88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7" min="6" style="0" width="9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4" min="13" style="0" width="13"/>
    <col collapsed="false" customWidth="true" hidden="false" outlineLevel="0" max="15" min="15" style="0" width="10"/>
    <col collapsed="false" customWidth="true" hidden="false" outlineLevel="0" max="16" min="16" style="0" width="13"/>
    <col collapsed="false" customWidth="true" hidden="false" outlineLevel="0" max="17" min="17" style="0" width="10"/>
    <col collapsed="false" customWidth="true" hidden="false" outlineLevel="0" max="19" min="18" style="0" width="9"/>
    <col collapsed="false" customWidth="true" hidden="false" outlineLevel="0" max="20" min="20" style="0" width="11"/>
    <col collapsed="false" customWidth="true" hidden="false" outlineLevel="0" max="21" min="21" style="0" width="34"/>
    <col collapsed="false" customWidth="true" hidden="false" outlineLevel="0" max="23" min="22" style="0" width="8"/>
  </cols>
  <sheetData>
    <row r="1" customFormat="false" ht="25.5" hidden="false" customHeight="true" outlineLevel="0" collapsed="false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false" outlineLevel="0" collapsed="false">
      <c r="A2" s="23" t="s">
        <v>90</v>
      </c>
      <c r="B2" s="27" t="s">
        <v>81</v>
      </c>
      <c r="D2" s="23" t="s">
        <v>91</v>
      </c>
      <c r="E2" s="27" t="n">
        <f aca="false">COUNTIF($L$6:$L$505,"청산")</f>
        <v>2</v>
      </c>
      <c r="F2" s="23" t="s">
        <v>92</v>
      </c>
      <c r="G2" s="27" t="n">
        <f aca="false">COUNTIF($L$6:$L$505,"보유중")</f>
        <v>1</v>
      </c>
      <c r="H2" s="23" t="s">
        <v>93</v>
      </c>
      <c r="I2" s="28" t="n">
        <f aca="false">SUM($P$6:$P$505)</f>
        <v>90911</v>
      </c>
    </row>
    <row r="3" customFormat="false" ht="13.4" hidden="false" customHeight="false" outlineLevel="0" collapsed="false">
      <c r="A3" s="29" t="s">
        <v>94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</row>
    <row r="5" customFormat="false" ht="31.5" hidden="false" customHeight="true" outlineLevel="0" collapsed="false">
      <c r="A5" s="30" t="s">
        <v>95</v>
      </c>
      <c r="B5" s="7" t="s">
        <v>96</v>
      </c>
      <c r="C5" s="7" t="s">
        <v>97</v>
      </c>
      <c r="D5" s="7" t="s">
        <v>98</v>
      </c>
      <c r="E5" s="7" t="s">
        <v>99</v>
      </c>
      <c r="F5" s="7" t="s">
        <v>100</v>
      </c>
      <c r="G5" s="7" t="s">
        <v>101</v>
      </c>
      <c r="H5" s="7" t="s">
        <v>102</v>
      </c>
      <c r="I5" s="7" t="s">
        <v>103</v>
      </c>
      <c r="J5" s="7" t="s">
        <v>104</v>
      </c>
      <c r="K5" s="7" t="s">
        <v>105</v>
      </c>
      <c r="L5" s="7" t="s">
        <v>106</v>
      </c>
      <c r="M5" s="7" t="s">
        <v>107</v>
      </c>
      <c r="N5" s="7" t="s">
        <v>108</v>
      </c>
      <c r="O5" s="7" t="s">
        <v>109</v>
      </c>
      <c r="P5" s="7" t="s">
        <v>33</v>
      </c>
      <c r="Q5" s="7" t="s">
        <v>35</v>
      </c>
      <c r="R5" s="7" t="s">
        <v>45</v>
      </c>
      <c r="S5" s="7" t="s">
        <v>110</v>
      </c>
      <c r="T5" s="7" t="s">
        <v>111</v>
      </c>
      <c r="U5" s="7" t="s">
        <v>112</v>
      </c>
      <c r="V5" s="31" t="s">
        <v>113</v>
      </c>
      <c r="W5" s="31" t="s">
        <v>114</v>
      </c>
    </row>
    <row r="6" customFormat="false" ht="15" hidden="false" customHeight="false" outlineLevel="0" collapsed="false">
      <c r="A6" s="32" t="n">
        <f aca="false">IF($B6="","",ROW()-5)</f>
        <v>1</v>
      </c>
      <c r="B6" s="33" t="s">
        <v>115</v>
      </c>
      <c r="C6" s="34" t="s">
        <v>116</v>
      </c>
      <c r="D6" s="35" t="n">
        <v>45950</v>
      </c>
      <c r="E6" s="36" t="n">
        <v>68000</v>
      </c>
      <c r="F6" s="37" t="n">
        <v>30</v>
      </c>
      <c r="G6" s="38" t="n">
        <v>306</v>
      </c>
      <c r="H6" s="35" t="n">
        <v>45975</v>
      </c>
      <c r="I6" s="36" t="n">
        <v>74500</v>
      </c>
      <c r="J6" s="38" t="n">
        <v>335</v>
      </c>
      <c r="K6" s="38" t="n">
        <v>4023</v>
      </c>
      <c r="L6" s="39" t="str">
        <f aca="false">IF($B6="","",IF($H6="","보유중","청산"))</f>
        <v>청산</v>
      </c>
      <c r="M6" s="40" t="n">
        <f aca="false">IF($B6="","",$E6*$F6)</f>
        <v>2040000</v>
      </c>
      <c r="N6" s="40" t="n">
        <f aca="false">IF($L6="청산",$I6*$F6,"")</f>
        <v>2235000</v>
      </c>
      <c r="O6" s="40" t="n">
        <f aca="false">IF($B6="","",$G6+$J6+$K6)</f>
        <v>4664</v>
      </c>
      <c r="P6" s="41" t="n">
        <f aca="false">IF($L6="청산",$N6-$M6-$O6,"")</f>
        <v>190336</v>
      </c>
      <c r="Q6" s="42" t="n">
        <f aca="false">IF($L6="청산",IF($M6=0,"",$P6/$M6),"")</f>
        <v>0.0933019607843137</v>
      </c>
      <c r="R6" s="43" t="n">
        <f aca="true">IF($B6="","",IF($L6="청산",$H6-$D6,IF($D6="","",TODAY()-$D6)))</f>
        <v>25</v>
      </c>
      <c r="S6" s="44" t="n">
        <f aca="false">IF($L6="청산",DATE(YEAR($H6),MONTH($H6),1),"")</f>
        <v>45962</v>
      </c>
      <c r="T6" s="45" t="s">
        <v>117</v>
      </c>
      <c r="U6" s="34" t="s">
        <v>118</v>
      </c>
      <c r="V6" s="46" t="n">
        <f aca="false">IF($B6="","",IF($L6&lt;&gt;"청산",N(V5),IF($P6&gt;0,N(V5)+1,0)))</f>
        <v>1</v>
      </c>
      <c r="W6" s="46" t="n">
        <f aca="false">IF($B6="","",IF($L6&lt;&gt;"청산",N(W5),IF($P6&lt;0,N(W5)+1,0)))</f>
        <v>0</v>
      </c>
    </row>
    <row r="7" customFormat="false" ht="15" hidden="false" customHeight="false" outlineLevel="0" collapsed="false">
      <c r="A7" s="32" t="n">
        <f aca="false">IF($B7="","",ROW()-5)</f>
        <v>2</v>
      </c>
      <c r="B7" s="33" t="s">
        <v>119</v>
      </c>
      <c r="C7" s="47" t="s">
        <v>120</v>
      </c>
      <c r="D7" s="35" t="n">
        <v>45964</v>
      </c>
      <c r="E7" s="36" t="n">
        <v>215000</v>
      </c>
      <c r="F7" s="37" t="n">
        <v>8</v>
      </c>
      <c r="G7" s="38" t="n">
        <v>258</v>
      </c>
      <c r="H7" s="35" t="n">
        <v>45971</v>
      </c>
      <c r="I7" s="36" t="n">
        <v>203000</v>
      </c>
      <c r="J7" s="38" t="n">
        <v>243</v>
      </c>
      <c r="K7" s="38" t="n">
        <v>2924</v>
      </c>
      <c r="L7" s="39" t="str">
        <f aca="false">IF($B7="","",IF($H7="","보유중","청산"))</f>
        <v>청산</v>
      </c>
      <c r="M7" s="40" t="n">
        <f aca="false">IF($B7="","",$E7*$F7)</f>
        <v>1720000</v>
      </c>
      <c r="N7" s="40" t="n">
        <f aca="false">IF($L7="청산",$I7*$F7,"")</f>
        <v>1624000</v>
      </c>
      <c r="O7" s="40" t="n">
        <f aca="false">IF($B7="","",$G7+$J7+$K7)</f>
        <v>3425</v>
      </c>
      <c r="P7" s="41" t="n">
        <f aca="false">IF($L7="청산",$N7-$M7-$O7,"")</f>
        <v>-99425</v>
      </c>
      <c r="Q7" s="42" t="n">
        <f aca="false">IF($L7="청산",IF($M7=0,"",$P7/$M7),"")</f>
        <v>-0.0578052325581395</v>
      </c>
      <c r="R7" s="43" t="n">
        <f aca="true">IF($B7="","",IF($L7="청산",$H7-$D7,IF($D7="","",TODAY()-$D7)))</f>
        <v>7</v>
      </c>
      <c r="S7" s="44" t="n">
        <f aca="false">IF($L7="청산",DATE(YEAR($H7),MONTH($H7),1),"")</f>
        <v>45962</v>
      </c>
      <c r="T7" s="45" t="s">
        <v>121</v>
      </c>
      <c r="U7" s="34" t="s">
        <v>122</v>
      </c>
      <c r="V7" s="46" t="n">
        <f aca="false">IF($B7="","",IF($L7&lt;&gt;"청산",N(V6),IF($P7&gt;0,N(V6)+1,0)))</f>
        <v>0</v>
      </c>
      <c r="W7" s="46" t="n">
        <f aca="false">IF($B7="","",IF($L7&lt;&gt;"청산",N(W6),IF($P7&lt;0,N(W6)+1,0)))</f>
        <v>1</v>
      </c>
    </row>
    <row r="8" customFormat="false" ht="15" hidden="false" customHeight="false" outlineLevel="0" collapsed="false">
      <c r="A8" s="32" t="n">
        <f aca="false">IF($B8="","",ROW()-5)</f>
        <v>3</v>
      </c>
      <c r="B8" s="33" t="s">
        <v>123</v>
      </c>
      <c r="C8" s="47" t="s">
        <v>124</v>
      </c>
      <c r="D8" s="35" t="n">
        <v>45992</v>
      </c>
      <c r="E8" s="36" t="n">
        <v>178000</v>
      </c>
      <c r="F8" s="37" t="n">
        <v>10</v>
      </c>
      <c r="G8" s="38" t="n">
        <v>267</v>
      </c>
      <c r="H8" s="35"/>
      <c r="I8" s="36"/>
      <c r="J8" s="38"/>
      <c r="K8" s="38"/>
      <c r="L8" s="39" t="str">
        <f aca="false">IF($B8="","",IF($H8="","보유중","청산"))</f>
        <v>보유중</v>
      </c>
      <c r="M8" s="40" t="n">
        <f aca="false">IF($B8="","",$E8*$F8)</f>
        <v>1780000</v>
      </c>
      <c r="N8" s="40" t="str">
        <f aca="false">IF($L8="청산",$I8*$F8,"")</f>
        <v/>
      </c>
      <c r="O8" s="40" t="n">
        <f aca="false">IF($B8="","",$G8+$J8+$K8)</f>
        <v>267</v>
      </c>
      <c r="P8" s="41" t="str">
        <f aca="false">IF($L8="청산",$N8-$M8-$O8,"")</f>
        <v/>
      </c>
      <c r="Q8" s="42" t="str">
        <f aca="false">IF($L8="청산",IF($M8=0,"",$P8/$M8),"")</f>
        <v/>
      </c>
      <c r="R8" s="43" t="n">
        <f aca="true">IF($B8="","",IF($L8="청산",$H8-$D8,IF($D8="","",TODAY()-$D8)))</f>
        <v>275</v>
      </c>
      <c r="S8" s="44" t="str">
        <f aca="false">IF($L8="청산",DATE(YEAR($H8),MONTH($H8),1),"")</f>
        <v/>
      </c>
      <c r="T8" s="45" t="s">
        <v>125</v>
      </c>
      <c r="U8" s="34" t="s">
        <v>126</v>
      </c>
      <c r="V8" s="46" t="n">
        <f aca="false">IF($B8="","",IF($L8&lt;&gt;"청산",N(V7),IF($P8&gt;0,N(V7)+1,0)))</f>
        <v>0</v>
      </c>
      <c r="W8" s="46" t="n">
        <f aca="false">IF($B8="","",IF($L8&lt;&gt;"청산",N(W7),IF($P8&lt;0,N(W7)+1,0)))</f>
        <v>1</v>
      </c>
    </row>
    <row r="9" customFormat="false" ht="15" hidden="false" customHeight="false" outlineLevel="0" collapsed="false">
      <c r="A9" s="32" t="str">
        <f aca="false">IF($B9="","",ROW()-5)</f>
        <v/>
      </c>
      <c r="B9" s="48"/>
      <c r="C9" s="49"/>
      <c r="D9" s="50"/>
      <c r="E9" s="51"/>
      <c r="F9" s="52"/>
      <c r="G9" s="53"/>
      <c r="H9" s="50"/>
      <c r="I9" s="51"/>
      <c r="J9" s="53"/>
      <c r="K9" s="53"/>
      <c r="L9" s="39" t="str">
        <f aca="false">IF($B9="","",IF($H9="","보유중","청산"))</f>
        <v/>
      </c>
      <c r="M9" s="40" t="str">
        <f aca="false">IF($B9="","",$E9*$F9)</f>
        <v/>
      </c>
      <c r="N9" s="40" t="str">
        <f aca="false">IF($L9="청산",$I9*$F9,"")</f>
        <v/>
      </c>
      <c r="O9" s="40" t="str">
        <f aca="false">IF($B9="","",$G9+$J9+$K9)</f>
        <v/>
      </c>
      <c r="P9" s="41" t="str">
        <f aca="false">IF($L9="청산",$N9-$M9-$O9,"")</f>
        <v/>
      </c>
      <c r="Q9" s="42" t="str">
        <f aca="false">IF($L9="청산",IF($M9=0,"",$P9/$M9),"")</f>
        <v/>
      </c>
      <c r="R9" s="43" t="str">
        <f aca="true">IF($B9="","",IF($L9="청산",$H9-$D9,IF($D9="","",TODAY()-$D9)))</f>
        <v/>
      </c>
      <c r="S9" s="44" t="str">
        <f aca="false">IF($L9="청산",DATE(YEAR($H9),MONTH($H9),1),"")</f>
        <v/>
      </c>
      <c r="T9" s="48"/>
      <c r="U9" s="49"/>
      <c r="V9" s="46" t="str">
        <f aca="false">IF($B9="","",IF($L9&lt;&gt;"청산",N(V8),IF($P9&gt;0,N(V8)+1,0)))</f>
        <v/>
      </c>
      <c r="W9" s="46" t="str">
        <f aca="false">IF($B9="","",IF($L9&lt;&gt;"청산",N(W8),IF($P9&lt;0,N(W8)+1,0)))</f>
        <v/>
      </c>
    </row>
    <row r="10" customFormat="false" ht="15" hidden="false" customHeight="false" outlineLevel="0" collapsed="false">
      <c r="A10" s="32" t="str">
        <f aca="false">IF($B10="","",ROW()-5)</f>
        <v/>
      </c>
      <c r="B10" s="48"/>
      <c r="C10" s="49"/>
      <c r="D10" s="50"/>
      <c r="E10" s="51"/>
      <c r="F10" s="52"/>
      <c r="G10" s="53"/>
      <c r="H10" s="50"/>
      <c r="I10" s="51"/>
      <c r="J10" s="53"/>
      <c r="K10" s="53"/>
      <c r="L10" s="39" t="str">
        <f aca="false">IF($B10="","",IF($H10="","보유중","청산"))</f>
        <v/>
      </c>
      <c r="M10" s="40" t="str">
        <f aca="false">IF($B10="","",$E10*$F10)</f>
        <v/>
      </c>
      <c r="N10" s="40" t="str">
        <f aca="false">IF($L10="청산",$I10*$F10,"")</f>
        <v/>
      </c>
      <c r="O10" s="40" t="str">
        <f aca="false">IF($B10="","",$G10+$J10+$K10)</f>
        <v/>
      </c>
      <c r="P10" s="41" t="str">
        <f aca="false">IF($L10="청산",$N10-$M10-$O10,"")</f>
        <v/>
      </c>
      <c r="Q10" s="42" t="str">
        <f aca="false">IF($L10="청산",IF($M10=0,"",$P10/$M10),"")</f>
        <v/>
      </c>
      <c r="R10" s="43" t="str">
        <f aca="true">IF($B10="","",IF($L10="청산",$H10-$D10,IF($D10="","",TODAY()-$D10)))</f>
        <v/>
      </c>
      <c r="S10" s="44" t="str">
        <f aca="false">IF($L10="청산",DATE(YEAR($H10),MONTH($H10),1),"")</f>
        <v/>
      </c>
      <c r="T10" s="48"/>
      <c r="U10" s="49"/>
      <c r="V10" s="46" t="str">
        <f aca="false">IF($B10="","",IF($L10&lt;&gt;"청산",N(V9),IF($P10&gt;0,N(V9)+1,0)))</f>
        <v/>
      </c>
      <c r="W10" s="46" t="str">
        <f aca="false">IF($B10="","",IF($L10&lt;&gt;"청산",N(W9),IF($P10&lt;0,N(W9)+1,0)))</f>
        <v/>
      </c>
    </row>
    <row r="11" customFormat="false" ht="15" hidden="false" customHeight="false" outlineLevel="0" collapsed="false">
      <c r="A11" s="32" t="str">
        <f aca="false">IF($B11="","",ROW()-5)</f>
        <v/>
      </c>
      <c r="B11" s="48"/>
      <c r="C11" s="49"/>
      <c r="D11" s="50"/>
      <c r="E11" s="51"/>
      <c r="F11" s="52"/>
      <c r="G11" s="53"/>
      <c r="H11" s="50"/>
      <c r="I11" s="51"/>
      <c r="J11" s="53"/>
      <c r="K11" s="53"/>
      <c r="L11" s="39" t="str">
        <f aca="false">IF($B11="","",IF($H11="","보유중","청산"))</f>
        <v/>
      </c>
      <c r="M11" s="40" t="str">
        <f aca="false">IF($B11="","",$E11*$F11)</f>
        <v/>
      </c>
      <c r="N11" s="40" t="str">
        <f aca="false">IF($L11="청산",$I11*$F11,"")</f>
        <v/>
      </c>
      <c r="O11" s="40" t="str">
        <f aca="false">IF($B11="","",$G11+$J11+$K11)</f>
        <v/>
      </c>
      <c r="P11" s="41" t="str">
        <f aca="false">IF($L11="청산",$N11-$M11-$O11,"")</f>
        <v/>
      </c>
      <c r="Q11" s="42" t="str">
        <f aca="false">IF($L11="청산",IF($M11=0,"",$P11/$M11),"")</f>
        <v/>
      </c>
      <c r="R11" s="43" t="str">
        <f aca="true">IF($B11="","",IF($L11="청산",$H11-$D11,IF($D11="","",TODAY()-$D11)))</f>
        <v/>
      </c>
      <c r="S11" s="44" t="str">
        <f aca="false">IF($L11="청산",DATE(YEAR($H11),MONTH($H11),1),"")</f>
        <v/>
      </c>
      <c r="T11" s="48"/>
      <c r="U11" s="49"/>
      <c r="V11" s="46" t="str">
        <f aca="false">IF($B11="","",IF($L11&lt;&gt;"청산",N(V10),IF($P11&gt;0,N(V10)+1,0)))</f>
        <v/>
      </c>
      <c r="W11" s="46" t="str">
        <f aca="false">IF($B11="","",IF($L11&lt;&gt;"청산",N(W10),IF($P11&lt;0,N(W10)+1,0)))</f>
        <v/>
      </c>
    </row>
    <row r="12" customFormat="false" ht="15" hidden="false" customHeight="false" outlineLevel="0" collapsed="false">
      <c r="A12" s="32" t="str">
        <f aca="false">IF($B12="","",ROW()-5)</f>
        <v/>
      </c>
      <c r="B12" s="48"/>
      <c r="C12" s="49"/>
      <c r="D12" s="50"/>
      <c r="E12" s="51"/>
      <c r="F12" s="52"/>
      <c r="G12" s="53"/>
      <c r="H12" s="50"/>
      <c r="I12" s="51"/>
      <c r="J12" s="53"/>
      <c r="K12" s="53"/>
      <c r="L12" s="39" t="str">
        <f aca="false">IF($B12="","",IF($H12="","보유중","청산"))</f>
        <v/>
      </c>
      <c r="M12" s="40" t="str">
        <f aca="false">IF($B12="","",$E12*$F12)</f>
        <v/>
      </c>
      <c r="N12" s="40" t="str">
        <f aca="false">IF($L12="청산",$I12*$F12,"")</f>
        <v/>
      </c>
      <c r="O12" s="40" t="str">
        <f aca="false">IF($B12="","",$G12+$J12+$K12)</f>
        <v/>
      </c>
      <c r="P12" s="41" t="str">
        <f aca="false">IF($L12="청산",$N12-$M12-$O12,"")</f>
        <v/>
      </c>
      <c r="Q12" s="42" t="str">
        <f aca="false">IF($L12="청산",IF($M12=0,"",$P12/$M12),"")</f>
        <v/>
      </c>
      <c r="R12" s="43" t="str">
        <f aca="true">IF($B12="","",IF($L12="청산",$H12-$D12,IF($D12="","",TODAY()-$D12)))</f>
        <v/>
      </c>
      <c r="S12" s="44" t="str">
        <f aca="false">IF($L12="청산",DATE(YEAR($H12),MONTH($H12),1),"")</f>
        <v/>
      </c>
      <c r="T12" s="48"/>
      <c r="U12" s="49"/>
      <c r="V12" s="46" t="str">
        <f aca="false">IF($B12="","",IF($L12&lt;&gt;"청산",N(V11),IF($P12&gt;0,N(V11)+1,0)))</f>
        <v/>
      </c>
      <c r="W12" s="46" t="str">
        <f aca="false">IF($B12="","",IF($L12&lt;&gt;"청산",N(W11),IF($P12&lt;0,N(W11)+1,0)))</f>
        <v/>
      </c>
    </row>
    <row r="13" customFormat="false" ht="15" hidden="false" customHeight="false" outlineLevel="0" collapsed="false">
      <c r="A13" s="32" t="str">
        <f aca="false">IF($B13="","",ROW()-5)</f>
        <v/>
      </c>
      <c r="B13" s="48"/>
      <c r="C13" s="49"/>
      <c r="D13" s="50"/>
      <c r="E13" s="51"/>
      <c r="F13" s="52"/>
      <c r="G13" s="53"/>
      <c r="H13" s="50"/>
      <c r="I13" s="51"/>
      <c r="J13" s="53"/>
      <c r="K13" s="53"/>
      <c r="L13" s="39" t="str">
        <f aca="false">IF($B13="","",IF($H13="","보유중","청산"))</f>
        <v/>
      </c>
      <c r="M13" s="40" t="str">
        <f aca="false">IF($B13="","",$E13*$F13)</f>
        <v/>
      </c>
      <c r="N13" s="40" t="str">
        <f aca="false">IF($L13="청산",$I13*$F13,"")</f>
        <v/>
      </c>
      <c r="O13" s="40" t="str">
        <f aca="false">IF($B13="","",$G13+$J13+$K13)</f>
        <v/>
      </c>
      <c r="P13" s="41" t="str">
        <f aca="false">IF($L13="청산",$N13-$M13-$O13,"")</f>
        <v/>
      </c>
      <c r="Q13" s="42" t="str">
        <f aca="false">IF($L13="청산",IF($M13=0,"",$P13/$M13),"")</f>
        <v/>
      </c>
      <c r="R13" s="43" t="str">
        <f aca="true">IF($B13="","",IF($L13="청산",$H13-$D13,IF($D13="","",TODAY()-$D13)))</f>
        <v/>
      </c>
      <c r="S13" s="44" t="str">
        <f aca="false">IF($L13="청산",DATE(YEAR($H13),MONTH($H13),1),"")</f>
        <v/>
      </c>
      <c r="T13" s="48"/>
      <c r="U13" s="49"/>
      <c r="V13" s="46" t="str">
        <f aca="false">IF($B13="","",IF($L13&lt;&gt;"청산",N(V12),IF($P13&gt;0,N(V12)+1,0)))</f>
        <v/>
      </c>
      <c r="W13" s="46" t="str">
        <f aca="false">IF($B13="","",IF($L13&lt;&gt;"청산",N(W12),IF($P13&lt;0,N(W12)+1,0)))</f>
        <v/>
      </c>
    </row>
    <row r="14" customFormat="false" ht="15" hidden="false" customHeight="false" outlineLevel="0" collapsed="false">
      <c r="A14" s="32" t="str">
        <f aca="false">IF($B14="","",ROW()-5)</f>
        <v/>
      </c>
      <c r="B14" s="48"/>
      <c r="C14" s="49"/>
      <c r="D14" s="50"/>
      <c r="E14" s="51"/>
      <c r="F14" s="52"/>
      <c r="G14" s="53"/>
      <c r="H14" s="50"/>
      <c r="I14" s="51"/>
      <c r="J14" s="53"/>
      <c r="K14" s="53"/>
      <c r="L14" s="39" t="str">
        <f aca="false">IF($B14="","",IF($H14="","보유중","청산"))</f>
        <v/>
      </c>
      <c r="M14" s="40" t="str">
        <f aca="false">IF($B14="","",$E14*$F14)</f>
        <v/>
      </c>
      <c r="N14" s="40" t="str">
        <f aca="false">IF($L14="청산",$I14*$F14,"")</f>
        <v/>
      </c>
      <c r="O14" s="40" t="str">
        <f aca="false">IF($B14="","",$G14+$J14+$K14)</f>
        <v/>
      </c>
      <c r="P14" s="41" t="str">
        <f aca="false">IF($L14="청산",$N14-$M14-$O14,"")</f>
        <v/>
      </c>
      <c r="Q14" s="42" t="str">
        <f aca="false">IF($L14="청산",IF($M14=0,"",$P14/$M14),"")</f>
        <v/>
      </c>
      <c r="R14" s="43" t="str">
        <f aca="true">IF($B14="","",IF($L14="청산",$H14-$D14,IF($D14="","",TODAY()-$D14)))</f>
        <v/>
      </c>
      <c r="S14" s="44" t="str">
        <f aca="false">IF($L14="청산",DATE(YEAR($H14),MONTH($H14),1),"")</f>
        <v/>
      </c>
      <c r="T14" s="48"/>
      <c r="U14" s="49"/>
      <c r="V14" s="46" t="str">
        <f aca="false">IF($B14="","",IF($L14&lt;&gt;"청산",N(V13),IF($P14&gt;0,N(V13)+1,0)))</f>
        <v/>
      </c>
      <c r="W14" s="46" t="str">
        <f aca="false">IF($B14="","",IF($L14&lt;&gt;"청산",N(W13),IF($P14&lt;0,N(W13)+1,0)))</f>
        <v/>
      </c>
    </row>
    <row r="15" customFormat="false" ht="15" hidden="false" customHeight="false" outlineLevel="0" collapsed="false">
      <c r="A15" s="32" t="str">
        <f aca="false">IF($B15="","",ROW()-5)</f>
        <v/>
      </c>
      <c r="B15" s="48"/>
      <c r="C15" s="49"/>
      <c r="D15" s="50"/>
      <c r="E15" s="51"/>
      <c r="F15" s="52"/>
      <c r="G15" s="53"/>
      <c r="H15" s="50"/>
      <c r="I15" s="51"/>
      <c r="J15" s="53"/>
      <c r="K15" s="53"/>
      <c r="L15" s="39" t="str">
        <f aca="false">IF($B15="","",IF($H15="","보유중","청산"))</f>
        <v/>
      </c>
      <c r="M15" s="40" t="str">
        <f aca="false">IF($B15="","",$E15*$F15)</f>
        <v/>
      </c>
      <c r="N15" s="40" t="str">
        <f aca="false">IF($L15="청산",$I15*$F15,"")</f>
        <v/>
      </c>
      <c r="O15" s="40" t="str">
        <f aca="false">IF($B15="","",$G15+$J15+$K15)</f>
        <v/>
      </c>
      <c r="P15" s="41" t="str">
        <f aca="false">IF($L15="청산",$N15-$M15-$O15,"")</f>
        <v/>
      </c>
      <c r="Q15" s="42" t="str">
        <f aca="false">IF($L15="청산",IF($M15=0,"",$P15/$M15),"")</f>
        <v/>
      </c>
      <c r="R15" s="43" t="str">
        <f aca="true">IF($B15="","",IF($L15="청산",$H15-$D15,IF($D15="","",TODAY()-$D15)))</f>
        <v/>
      </c>
      <c r="S15" s="44" t="str">
        <f aca="false">IF($L15="청산",DATE(YEAR($H15),MONTH($H15),1),"")</f>
        <v/>
      </c>
      <c r="T15" s="48"/>
      <c r="U15" s="49"/>
      <c r="V15" s="46" t="str">
        <f aca="false">IF($B15="","",IF($L15&lt;&gt;"청산",N(V14),IF($P15&gt;0,N(V14)+1,0)))</f>
        <v/>
      </c>
      <c r="W15" s="46" t="str">
        <f aca="false">IF($B15="","",IF($L15&lt;&gt;"청산",N(W14),IF($P15&lt;0,N(W14)+1,0)))</f>
        <v/>
      </c>
    </row>
    <row r="16" customFormat="false" ht="15" hidden="false" customHeight="false" outlineLevel="0" collapsed="false">
      <c r="A16" s="32" t="str">
        <f aca="false">IF($B16="","",ROW()-5)</f>
        <v/>
      </c>
      <c r="B16" s="48"/>
      <c r="C16" s="49"/>
      <c r="D16" s="50"/>
      <c r="E16" s="51"/>
      <c r="F16" s="52"/>
      <c r="G16" s="53"/>
      <c r="H16" s="50"/>
      <c r="I16" s="51"/>
      <c r="J16" s="53"/>
      <c r="K16" s="53"/>
      <c r="L16" s="39" t="str">
        <f aca="false">IF($B16="","",IF($H16="","보유중","청산"))</f>
        <v/>
      </c>
      <c r="M16" s="40" t="str">
        <f aca="false">IF($B16="","",$E16*$F16)</f>
        <v/>
      </c>
      <c r="N16" s="40" t="str">
        <f aca="false">IF($L16="청산",$I16*$F16,"")</f>
        <v/>
      </c>
      <c r="O16" s="40" t="str">
        <f aca="false">IF($B16="","",$G16+$J16+$K16)</f>
        <v/>
      </c>
      <c r="P16" s="41" t="str">
        <f aca="false">IF($L16="청산",$N16-$M16-$O16,"")</f>
        <v/>
      </c>
      <c r="Q16" s="42" t="str">
        <f aca="false">IF($L16="청산",IF($M16=0,"",$P16/$M16),"")</f>
        <v/>
      </c>
      <c r="R16" s="43" t="str">
        <f aca="true">IF($B16="","",IF($L16="청산",$H16-$D16,IF($D16="","",TODAY()-$D16)))</f>
        <v/>
      </c>
      <c r="S16" s="44" t="str">
        <f aca="false">IF($L16="청산",DATE(YEAR($H16),MONTH($H16),1),"")</f>
        <v/>
      </c>
      <c r="T16" s="48"/>
      <c r="U16" s="49"/>
      <c r="V16" s="46" t="str">
        <f aca="false">IF($B16="","",IF($L16&lt;&gt;"청산",N(V15),IF($P16&gt;0,N(V15)+1,0)))</f>
        <v/>
      </c>
      <c r="W16" s="46" t="str">
        <f aca="false">IF($B16="","",IF($L16&lt;&gt;"청산",N(W15),IF($P16&lt;0,N(W15)+1,0)))</f>
        <v/>
      </c>
    </row>
    <row r="17" customFormat="false" ht="15" hidden="false" customHeight="false" outlineLevel="0" collapsed="false">
      <c r="A17" s="32" t="str">
        <f aca="false">IF($B17="","",ROW()-5)</f>
        <v/>
      </c>
      <c r="B17" s="48"/>
      <c r="C17" s="49"/>
      <c r="D17" s="50"/>
      <c r="E17" s="51"/>
      <c r="F17" s="52"/>
      <c r="G17" s="53"/>
      <c r="H17" s="50"/>
      <c r="I17" s="51"/>
      <c r="J17" s="53"/>
      <c r="K17" s="53"/>
      <c r="L17" s="39" t="str">
        <f aca="false">IF($B17="","",IF($H17="","보유중","청산"))</f>
        <v/>
      </c>
      <c r="M17" s="40" t="str">
        <f aca="false">IF($B17="","",$E17*$F17)</f>
        <v/>
      </c>
      <c r="N17" s="40" t="str">
        <f aca="false">IF($L17="청산",$I17*$F17,"")</f>
        <v/>
      </c>
      <c r="O17" s="40" t="str">
        <f aca="false">IF($B17="","",$G17+$J17+$K17)</f>
        <v/>
      </c>
      <c r="P17" s="41" t="str">
        <f aca="false">IF($L17="청산",$N17-$M17-$O17,"")</f>
        <v/>
      </c>
      <c r="Q17" s="42" t="str">
        <f aca="false">IF($L17="청산",IF($M17=0,"",$P17/$M17),"")</f>
        <v/>
      </c>
      <c r="R17" s="43" t="str">
        <f aca="true">IF($B17="","",IF($L17="청산",$H17-$D17,IF($D17="","",TODAY()-$D17)))</f>
        <v/>
      </c>
      <c r="S17" s="44" t="str">
        <f aca="false">IF($L17="청산",DATE(YEAR($H17),MONTH($H17),1),"")</f>
        <v/>
      </c>
      <c r="T17" s="48"/>
      <c r="U17" s="49"/>
      <c r="V17" s="46" t="str">
        <f aca="false">IF($B17="","",IF($L17&lt;&gt;"청산",N(V16),IF($P17&gt;0,N(V16)+1,0)))</f>
        <v/>
      </c>
      <c r="W17" s="46" t="str">
        <f aca="false">IF($B17="","",IF($L17&lt;&gt;"청산",N(W16),IF($P17&lt;0,N(W16)+1,0)))</f>
        <v/>
      </c>
    </row>
    <row r="18" customFormat="false" ht="15" hidden="false" customHeight="false" outlineLevel="0" collapsed="false">
      <c r="A18" s="32" t="str">
        <f aca="false">IF($B18="","",ROW()-5)</f>
        <v/>
      </c>
      <c r="B18" s="48"/>
      <c r="C18" s="49"/>
      <c r="D18" s="50"/>
      <c r="E18" s="51"/>
      <c r="F18" s="52"/>
      <c r="G18" s="53"/>
      <c r="H18" s="50"/>
      <c r="I18" s="51"/>
      <c r="J18" s="53"/>
      <c r="K18" s="53"/>
      <c r="L18" s="39" t="str">
        <f aca="false">IF($B18="","",IF($H18="","보유중","청산"))</f>
        <v/>
      </c>
      <c r="M18" s="40" t="str">
        <f aca="false">IF($B18="","",$E18*$F18)</f>
        <v/>
      </c>
      <c r="N18" s="40" t="str">
        <f aca="false">IF($L18="청산",$I18*$F18,"")</f>
        <v/>
      </c>
      <c r="O18" s="40" t="str">
        <f aca="false">IF($B18="","",$G18+$J18+$K18)</f>
        <v/>
      </c>
      <c r="P18" s="41" t="str">
        <f aca="false">IF($L18="청산",$N18-$M18-$O18,"")</f>
        <v/>
      </c>
      <c r="Q18" s="42" t="str">
        <f aca="false">IF($L18="청산",IF($M18=0,"",$P18/$M18),"")</f>
        <v/>
      </c>
      <c r="R18" s="43" t="str">
        <f aca="true">IF($B18="","",IF($L18="청산",$H18-$D18,IF($D18="","",TODAY()-$D18)))</f>
        <v/>
      </c>
      <c r="S18" s="44" t="str">
        <f aca="false">IF($L18="청산",DATE(YEAR($H18),MONTH($H18),1),"")</f>
        <v/>
      </c>
      <c r="T18" s="48"/>
      <c r="U18" s="49"/>
      <c r="V18" s="46" t="str">
        <f aca="false">IF($B18="","",IF($L18&lt;&gt;"청산",N(V17),IF($P18&gt;0,N(V17)+1,0)))</f>
        <v/>
      </c>
      <c r="W18" s="46" t="str">
        <f aca="false">IF($B18="","",IF($L18&lt;&gt;"청산",N(W17),IF($P18&lt;0,N(W17)+1,0)))</f>
        <v/>
      </c>
    </row>
    <row r="19" customFormat="false" ht="15" hidden="false" customHeight="false" outlineLevel="0" collapsed="false">
      <c r="A19" s="32" t="str">
        <f aca="false">IF($B19="","",ROW()-5)</f>
        <v/>
      </c>
      <c r="B19" s="48"/>
      <c r="C19" s="49"/>
      <c r="D19" s="50"/>
      <c r="E19" s="51"/>
      <c r="F19" s="52"/>
      <c r="G19" s="53"/>
      <c r="H19" s="50"/>
      <c r="I19" s="51"/>
      <c r="J19" s="53"/>
      <c r="K19" s="53"/>
      <c r="L19" s="39" t="str">
        <f aca="false">IF($B19="","",IF($H19="","보유중","청산"))</f>
        <v/>
      </c>
      <c r="M19" s="40" t="str">
        <f aca="false">IF($B19="","",$E19*$F19)</f>
        <v/>
      </c>
      <c r="N19" s="40" t="str">
        <f aca="false">IF($L19="청산",$I19*$F19,"")</f>
        <v/>
      </c>
      <c r="O19" s="40" t="str">
        <f aca="false">IF($B19="","",$G19+$J19+$K19)</f>
        <v/>
      </c>
      <c r="P19" s="41" t="str">
        <f aca="false">IF($L19="청산",$N19-$M19-$O19,"")</f>
        <v/>
      </c>
      <c r="Q19" s="42" t="str">
        <f aca="false">IF($L19="청산",IF($M19=0,"",$P19/$M19),"")</f>
        <v/>
      </c>
      <c r="R19" s="43" t="str">
        <f aca="true">IF($B19="","",IF($L19="청산",$H19-$D19,IF($D19="","",TODAY()-$D19)))</f>
        <v/>
      </c>
      <c r="S19" s="44" t="str">
        <f aca="false">IF($L19="청산",DATE(YEAR($H19),MONTH($H19),1),"")</f>
        <v/>
      </c>
      <c r="T19" s="48"/>
      <c r="U19" s="49"/>
      <c r="V19" s="46" t="str">
        <f aca="false">IF($B19="","",IF($L19&lt;&gt;"청산",N(V18),IF($P19&gt;0,N(V18)+1,0)))</f>
        <v/>
      </c>
      <c r="W19" s="46" t="str">
        <f aca="false">IF($B19="","",IF($L19&lt;&gt;"청산",N(W18),IF($P19&lt;0,N(W18)+1,0)))</f>
        <v/>
      </c>
    </row>
    <row r="20" customFormat="false" ht="15" hidden="false" customHeight="false" outlineLevel="0" collapsed="false">
      <c r="A20" s="32" t="str">
        <f aca="false">IF($B20="","",ROW()-5)</f>
        <v/>
      </c>
      <c r="B20" s="48"/>
      <c r="C20" s="49"/>
      <c r="D20" s="50"/>
      <c r="E20" s="51"/>
      <c r="F20" s="52"/>
      <c r="G20" s="53"/>
      <c r="H20" s="50"/>
      <c r="I20" s="51"/>
      <c r="J20" s="53"/>
      <c r="K20" s="53"/>
      <c r="L20" s="39" t="str">
        <f aca="false">IF($B20="","",IF($H20="","보유중","청산"))</f>
        <v/>
      </c>
      <c r="M20" s="40" t="str">
        <f aca="false">IF($B20="","",$E20*$F20)</f>
        <v/>
      </c>
      <c r="N20" s="40" t="str">
        <f aca="false">IF($L20="청산",$I20*$F20,"")</f>
        <v/>
      </c>
      <c r="O20" s="40" t="str">
        <f aca="false">IF($B20="","",$G20+$J20+$K20)</f>
        <v/>
      </c>
      <c r="P20" s="41" t="str">
        <f aca="false">IF($L20="청산",$N20-$M20-$O20,"")</f>
        <v/>
      </c>
      <c r="Q20" s="42" t="str">
        <f aca="false">IF($L20="청산",IF($M20=0,"",$P20/$M20),"")</f>
        <v/>
      </c>
      <c r="R20" s="43" t="str">
        <f aca="true">IF($B20="","",IF($L20="청산",$H20-$D20,IF($D20="","",TODAY()-$D20)))</f>
        <v/>
      </c>
      <c r="S20" s="44" t="str">
        <f aca="false">IF($L20="청산",DATE(YEAR($H20),MONTH($H20),1),"")</f>
        <v/>
      </c>
      <c r="T20" s="48"/>
      <c r="U20" s="49"/>
      <c r="V20" s="46" t="str">
        <f aca="false">IF($B20="","",IF($L20&lt;&gt;"청산",N(V19),IF($P20&gt;0,N(V19)+1,0)))</f>
        <v/>
      </c>
      <c r="W20" s="46" t="str">
        <f aca="false">IF($B20="","",IF($L20&lt;&gt;"청산",N(W19),IF($P20&lt;0,N(W19)+1,0)))</f>
        <v/>
      </c>
    </row>
    <row r="21" customFormat="false" ht="15" hidden="false" customHeight="false" outlineLevel="0" collapsed="false">
      <c r="A21" s="32" t="str">
        <f aca="false">IF($B21="","",ROW()-5)</f>
        <v/>
      </c>
      <c r="B21" s="48"/>
      <c r="C21" s="49"/>
      <c r="D21" s="50"/>
      <c r="E21" s="51"/>
      <c r="F21" s="52"/>
      <c r="G21" s="53"/>
      <c r="H21" s="50"/>
      <c r="I21" s="51"/>
      <c r="J21" s="53"/>
      <c r="K21" s="53"/>
      <c r="L21" s="39" t="str">
        <f aca="false">IF($B21="","",IF($H21="","보유중","청산"))</f>
        <v/>
      </c>
      <c r="M21" s="40" t="str">
        <f aca="false">IF($B21="","",$E21*$F21)</f>
        <v/>
      </c>
      <c r="N21" s="40" t="str">
        <f aca="false">IF($L21="청산",$I21*$F21,"")</f>
        <v/>
      </c>
      <c r="O21" s="40" t="str">
        <f aca="false">IF($B21="","",$G21+$J21+$K21)</f>
        <v/>
      </c>
      <c r="P21" s="41" t="str">
        <f aca="false">IF($L21="청산",$N21-$M21-$O21,"")</f>
        <v/>
      </c>
      <c r="Q21" s="42" t="str">
        <f aca="false">IF($L21="청산",IF($M21=0,"",$P21/$M21),"")</f>
        <v/>
      </c>
      <c r="R21" s="43" t="str">
        <f aca="true">IF($B21="","",IF($L21="청산",$H21-$D21,IF($D21="","",TODAY()-$D21)))</f>
        <v/>
      </c>
      <c r="S21" s="44" t="str">
        <f aca="false">IF($L21="청산",DATE(YEAR($H21),MONTH($H21),1),"")</f>
        <v/>
      </c>
      <c r="T21" s="48"/>
      <c r="U21" s="49"/>
      <c r="V21" s="46" t="str">
        <f aca="false">IF($B21="","",IF($L21&lt;&gt;"청산",N(V20),IF($P21&gt;0,N(V20)+1,0)))</f>
        <v/>
      </c>
      <c r="W21" s="46" t="str">
        <f aca="false">IF($B21="","",IF($L21&lt;&gt;"청산",N(W20),IF($P21&lt;0,N(W20)+1,0)))</f>
        <v/>
      </c>
    </row>
    <row r="22" customFormat="false" ht="15" hidden="false" customHeight="false" outlineLevel="0" collapsed="false">
      <c r="A22" s="32" t="str">
        <f aca="false">IF($B22="","",ROW()-5)</f>
        <v/>
      </c>
      <c r="B22" s="48"/>
      <c r="C22" s="49"/>
      <c r="D22" s="50"/>
      <c r="E22" s="51"/>
      <c r="F22" s="52"/>
      <c r="G22" s="53"/>
      <c r="H22" s="50"/>
      <c r="I22" s="51"/>
      <c r="J22" s="53"/>
      <c r="K22" s="53"/>
      <c r="L22" s="39" t="str">
        <f aca="false">IF($B22="","",IF($H22="","보유중","청산"))</f>
        <v/>
      </c>
      <c r="M22" s="40" t="str">
        <f aca="false">IF($B22="","",$E22*$F22)</f>
        <v/>
      </c>
      <c r="N22" s="40" t="str">
        <f aca="false">IF($L22="청산",$I22*$F22,"")</f>
        <v/>
      </c>
      <c r="O22" s="40" t="str">
        <f aca="false">IF($B22="","",$G22+$J22+$K22)</f>
        <v/>
      </c>
      <c r="P22" s="41" t="str">
        <f aca="false">IF($L22="청산",$N22-$M22-$O22,"")</f>
        <v/>
      </c>
      <c r="Q22" s="42" t="str">
        <f aca="false">IF($L22="청산",IF($M22=0,"",$P22/$M22),"")</f>
        <v/>
      </c>
      <c r="R22" s="43" t="str">
        <f aca="true">IF($B22="","",IF($L22="청산",$H22-$D22,IF($D22="","",TODAY()-$D22)))</f>
        <v/>
      </c>
      <c r="S22" s="44" t="str">
        <f aca="false">IF($L22="청산",DATE(YEAR($H22),MONTH($H22),1),"")</f>
        <v/>
      </c>
      <c r="T22" s="48"/>
      <c r="U22" s="49"/>
      <c r="V22" s="46" t="str">
        <f aca="false">IF($B22="","",IF($L22&lt;&gt;"청산",N(V21),IF($P22&gt;0,N(V21)+1,0)))</f>
        <v/>
      </c>
      <c r="W22" s="46" t="str">
        <f aca="false">IF($B22="","",IF($L22&lt;&gt;"청산",N(W21),IF($P22&lt;0,N(W21)+1,0)))</f>
        <v/>
      </c>
    </row>
    <row r="23" customFormat="false" ht="15" hidden="false" customHeight="false" outlineLevel="0" collapsed="false">
      <c r="A23" s="32" t="str">
        <f aca="false">IF($B23="","",ROW()-5)</f>
        <v/>
      </c>
      <c r="B23" s="48"/>
      <c r="C23" s="49"/>
      <c r="D23" s="50"/>
      <c r="E23" s="51"/>
      <c r="F23" s="52"/>
      <c r="G23" s="53"/>
      <c r="H23" s="50"/>
      <c r="I23" s="51"/>
      <c r="J23" s="53"/>
      <c r="K23" s="53"/>
      <c r="L23" s="39" t="str">
        <f aca="false">IF($B23="","",IF($H23="","보유중","청산"))</f>
        <v/>
      </c>
      <c r="M23" s="40" t="str">
        <f aca="false">IF($B23="","",$E23*$F23)</f>
        <v/>
      </c>
      <c r="N23" s="40" t="str">
        <f aca="false">IF($L23="청산",$I23*$F23,"")</f>
        <v/>
      </c>
      <c r="O23" s="40" t="str">
        <f aca="false">IF($B23="","",$G23+$J23+$K23)</f>
        <v/>
      </c>
      <c r="P23" s="41" t="str">
        <f aca="false">IF($L23="청산",$N23-$M23-$O23,"")</f>
        <v/>
      </c>
      <c r="Q23" s="42" t="str">
        <f aca="false">IF($L23="청산",IF($M23=0,"",$P23/$M23),"")</f>
        <v/>
      </c>
      <c r="R23" s="43" t="str">
        <f aca="true">IF($B23="","",IF($L23="청산",$H23-$D23,IF($D23="","",TODAY()-$D23)))</f>
        <v/>
      </c>
      <c r="S23" s="44" t="str">
        <f aca="false">IF($L23="청산",DATE(YEAR($H23),MONTH($H23),1),"")</f>
        <v/>
      </c>
      <c r="T23" s="48"/>
      <c r="U23" s="49"/>
      <c r="V23" s="46" t="str">
        <f aca="false">IF($B23="","",IF($L23&lt;&gt;"청산",N(V22),IF($P23&gt;0,N(V22)+1,0)))</f>
        <v/>
      </c>
      <c r="W23" s="46" t="str">
        <f aca="false">IF($B23="","",IF($L23&lt;&gt;"청산",N(W22),IF($P23&lt;0,N(W22)+1,0)))</f>
        <v/>
      </c>
    </row>
    <row r="24" customFormat="false" ht="15" hidden="false" customHeight="false" outlineLevel="0" collapsed="false">
      <c r="A24" s="32" t="str">
        <f aca="false">IF($B24="","",ROW()-5)</f>
        <v/>
      </c>
      <c r="B24" s="48"/>
      <c r="C24" s="49"/>
      <c r="D24" s="50"/>
      <c r="E24" s="51"/>
      <c r="F24" s="52"/>
      <c r="G24" s="53"/>
      <c r="H24" s="50"/>
      <c r="I24" s="51"/>
      <c r="J24" s="53"/>
      <c r="K24" s="53"/>
      <c r="L24" s="39" t="str">
        <f aca="false">IF($B24="","",IF($H24="","보유중","청산"))</f>
        <v/>
      </c>
      <c r="M24" s="40" t="str">
        <f aca="false">IF($B24="","",$E24*$F24)</f>
        <v/>
      </c>
      <c r="N24" s="40" t="str">
        <f aca="false">IF($L24="청산",$I24*$F24,"")</f>
        <v/>
      </c>
      <c r="O24" s="40" t="str">
        <f aca="false">IF($B24="","",$G24+$J24+$K24)</f>
        <v/>
      </c>
      <c r="P24" s="41" t="str">
        <f aca="false">IF($L24="청산",$N24-$M24-$O24,"")</f>
        <v/>
      </c>
      <c r="Q24" s="42" t="str">
        <f aca="false">IF($L24="청산",IF($M24=0,"",$P24/$M24),"")</f>
        <v/>
      </c>
      <c r="R24" s="43" t="str">
        <f aca="true">IF($B24="","",IF($L24="청산",$H24-$D24,IF($D24="","",TODAY()-$D24)))</f>
        <v/>
      </c>
      <c r="S24" s="44" t="str">
        <f aca="false">IF($L24="청산",DATE(YEAR($H24),MONTH($H24),1),"")</f>
        <v/>
      </c>
      <c r="T24" s="48"/>
      <c r="U24" s="49"/>
      <c r="V24" s="46" t="str">
        <f aca="false">IF($B24="","",IF($L24&lt;&gt;"청산",N(V23),IF($P24&gt;0,N(V23)+1,0)))</f>
        <v/>
      </c>
      <c r="W24" s="46" t="str">
        <f aca="false">IF($B24="","",IF($L24&lt;&gt;"청산",N(W23),IF($P24&lt;0,N(W23)+1,0)))</f>
        <v/>
      </c>
    </row>
    <row r="25" customFormat="false" ht="15" hidden="false" customHeight="false" outlineLevel="0" collapsed="false">
      <c r="A25" s="32" t="str">
        <f aca="false">IF($B25="","",ROW()-5)</f>
        <v/>
      </c>
      <c r="B25" s="48"/>
      <c r="C25" s="49"/>
      <c r="D25" s="50"/>
      <c r="E25" s="51"/>
      <c r="F25" s="52"/>
      <c r="G25" s="53"/>
      <c r="H25" s="50"/>
      <c r="I25" s="51"/>
      <c r="J25" s="53"/>
      <c r="K25" s="53"/>
      <c r="L25" s="39" t="str">
        <f aca="false">IF($B25="","",IF($H25="","보유중","청산"))</f>
        <v/>
      </c>
      <c r="M25" s="40" t="str">
        <f aca="false">IF($B25="","",$E25*$F25)</f>
        <v/>
      </c>
      <c r="N25" s="40" t="str">
        <f aca="false">IF($L25="청산",$I25*$F25,"")</f>
        <v/>
      </c>
      <c r="O25" s="40" t="str">
        <f aca="false">IF($B25="","",$G25+$J25+$K25)</f>
        <v/>
      </c>
      <c r="P25" s="41" t="str">
        <f aca="false">IF($L25="청산",$N25-$M25-$O25,"")</f>
        <v/>
      </c>
      <c r="Q25" s="42" t="str">
        <f aca="false">IF($L25="청산",IF($M25=0,"",$P25/$M25),"")</f>
        <v/>
      </c>
      <c r="R25" s="43" t="str">
        <f aca="true">IF($B25="","",IF($L25="청산",$H25-$D25,IF($D25="","",TODAY()-$D25)))</f>
        <v/>
      </c>
      <c r="S25" s="44" t="str">
        <f aca="false">IF($L25="청산",DATE(YEAR($H25),MONTH($H25),1),"")</f>
        <v/>
      </c>
      <c r="T25" s="48"/>
      <c r="U25" s="49"/>
      <c r="V25" s="46" t="str">
        <f aca="false">IF($B25="","",IF($L25&lt;&gt;"청산",N(V24),IF($P25&gt;0,N(V24)+1,0)))</f>
        <v/>
      </c>
      <c r="W25" s="46" t="str">
        <f aca="false">IF($B25="","",IF($L25&lt;&gt;"청산",N(W24),IF($P25&lt;0,N(W24)+1,0)))</f>
        <v/>
      </c>
    </row>
    <row r="26" customFormat="false" ht="15" hidden="false" customHeight="false" outlineLevel="0" collapsed="false">
      <c r="A26" s="32" t="str">
        <f aca="false">IF($B26="","",ROW()-5)</f>
        <v/>
      </c>
      <c r="B26" s="48"/>
      <c r="C26" s="49"/>
      <c r="D26" s="50"/>
      <c r="E26" s="51"/>
      <c r="F26" s="52"/>
      <c r="G26" s="53"/>
      <c r="H26" s="50"/>
      <c r="I26" s="51"/>
      <c r="J26" s="53"/>
      <c r="K26" s="53"/>
      <c r="L26" s="39" t="str">
        <f aca="false">IF($B26="","",IF($H26="","보유중","청산"))</f>
        <v/>
      </c>
      <c r="M26" s="40" t="str">
        <f aca="false">IF($B26="","",$E26*$F26)</f>
        <v/>
      </c>
      <c r="N26" s="40" t="str">
        <f aca="false">IF($L26="청산",$I26*$F26,"")</f>
        <v/>
      </c>
      <c r="O26" s="40" t="str">
        <f aca="false">IF($B26="","",$G26+$J26+$K26)</f>
        <v/>
      </c>
      <c r="P26" s="41" t="str">
        <f aca="false">IF($L26="청산",$N26-$M26-$O26,"")</f>
        <v/>
      </c>
      <c r="Q26" s="42" t="str">
        <f aca="false">IF($L26="청산",IF($M26=0,"",$P26/$M26),"")</f>
        <v/>
      </c>
      <c r="R26" s="43" t="str">
        <f aca="true">IF($B26="","",IF($L26="청산",$H26-$D26,IF($D26="","",TODAY()-$D26)))</f>
        <v/>
      </c>
      <c r="S26" s="44" t="str">
        <f aca="false">IF($L26="청산",DATE(YEAR($H26),MONTH($H26),1),"")</f>
        <v/>
      </c>
      <c r="T26" s="48"/>
      <c r="U26" s="49"/>
      <c r="V26" s="46" t="str">
        <f aca="false">IF($B26="","",IF($L26&lt;&gt;"청산",N(V25),IF($P26&gt;0,N(V25)+1,0)))</f>
        <v/>
      </c>
      <c r="W26" s="46" t="str">
        <f aca="false">IF($B26="","",IF($L26&lt;&gt;"청산",N(W25),IF($P26&lt;0,N(W25)+1,0)))</f>
        <v/>
      </c>
    </row>
    <row r="27" customFormat="false" ht="15" hidden="false" customHeight="false" outlineLevel="0" collapsed="false">
      <c r="A27" s="32" t="str">
        <f aca="false">IF($B27="","",ROW()-5)</f>
        <v/>
      </c>
      <c r="B27" s="48"/>
      <c r="C27" s="49"/>
      <c r="D27" s="50"/>
      <c r="E27" s="51"/>
      <c r="F27" s="52"/>
      <c r="G27" s="53"/>
      <c r="H27" s="50"/>
      <c r="I27" s="51"/>
      <c r="J27" s="53"/>
      <c r="K27" s="53"/>
      <c r="L27" s="39" t="str">
        <f aca="false">IF($B27="","",IF($H27="","보유중","청산"))</f>
        <v/>
      </c>
      <c r="M27" s="40" t="str">
        <f aca="false">IF($B27="","",$E27*$F27)</f>
        <v/>
      </c>
      <c r="N27" s="40" t="str">
        <f aca="false">IF($L27="청산",$I27*$F27,"")</f>
        <v/>
      </c>
      <c r="O27" s="40" t="str">
        <f aca="false">IF($B27="","",$G27+$J27+$K27)</f>
        <v/>
      </c>
      <c r="P27" s="41" t="str">
        <f aca="false">IF($L27="청산",$N27-$M27-$O27,"")</f>
        <v/>
      </c>
      <c r="Q27" s="42" t="str">
        <f aca="false">IF($L27="청산",IF($M27=0,"",$P27/$M27),"")</f>
        <v/>
      </c>
      <c r="R27" s="43" t="str">
        <f aca="true">IF($B27="","",IF($L27="청산",$H27-$D27,IF($D27="","",TODAY()-$D27)))</f>
        <v/>
      </c>
      <c r="S27" s="44" t="str">
        <f aca="false">IF($L27="청산",DATE(YEAR($H27),MONTH($H27),1),"")</f>
        <v/>
      </c>
      <c r="T27" s="48"/>
      <c r="U27" s="49"/>
      <c r="V27" s="46" t="str">
        <f aca="false">IF($B27="","",IF($L27&lt;&gt;"청산",N(V26),IF($P27&gt;0,N(V26)+1,0)))</f>
        <v/>
      </c>
      <c r="W27" s="46" t="str">
        <f aca="false">IF($B27="","",IF($L27&lt;&gt;"청산",N(W26),IF($P27&lt;0,N(W26)+1,0)))</f>
        <v/>
      </c>
    </row>
    <row r="28" customFormat="false" ht="15" hidden="false" customHeight="false" outlineLevel="0" collapsed="false">
      <c r="A28" s="32" t="str">
        <f aca="false">IF($B28="","",ROW()-5)</f>
        <v/>
      </c>
      <c r="B28" s="48"/>
      <c r="C28" s="49"/>
      <c r="D28" s="50"/>
      <c r="E28" s="51"/>
      <c r="F28" s="52"/>
      <c r="G28" s="53"/>
      <c r="H28" s="50"/>
      <c r="I28" s="51"/>
      <c r="J28" s="53"/>
      <c r="K28" s="53"/>
      <c r="L28" s="39" t="str">
        <f aca="false">IF($B28="","",IF($H28="","보유중","청산"))</f>
        <v/>
      </c>
      <c r="M28" s="40" t="str">
        <f aca="false">IF($B28="","",$E28*$F28)</f>
        <v/>
      </c>
      <c r="N28" s="40" t="str">
        <f aca="false">IF($L28="청산",$I28*$F28,"")</f>
        <v/>
      </c>
      <c r="O28" s="40" t="str">
        <f aca="false">IF($B28="","",$G28+$J28+$K28)</f>
        <v/>
      </c>
      <c r="P28" s="41" t="str">
        <f aca="false">IF($L28="청산",$N28-$M28-$O28,"")</f>
        <v/>
      </c>
      <c r="Q28" s="42" t="str">
        <f aca="false">IF($L28="청산",IF($M28=0,"",$P28/$M28),"")</f>
        <v/>
      </c>
      <c r="R28" s="43" t="str">
        <f aca="true">IF($B28="","",IF($L28="청산",$H28-$D28,IF($D28="","",TODAY()-$D28)))</f>
        <v/>
      </c>
      <c r="S28" s="44" t="str">
        <f aca="false">IF($L28="청산",DATE(YEAR($H28),MONTH($H28),1),"")</f>
        <v/>
      </c>
      <c r="T28" s="48"/>
      <c r="U28" s="49"/>
      <c r="V28" s="46" t="str">
        <f aca="false">IF($B28="","",IF($L28&lt;&gt;"청산",N(V27),IF($P28&gt;0,N(V27)+1,0)))</f>
        <v/>
      </c>
      <c r="W28" s="46" t="str">
        <f aca="false">IF($B28="","",IF($L28&lt;&gt;"청산",N(W27),IF($P28&lt;0,N(W27)+1,0)))</f>
        <v/>
      </c>
    </row>
    <row r="29" customFormat="false" ht="15" hidden="false" customHeight="false" outlineLevel="0" collapsed="false">
      <c r="A29" s="32" t="str">
        <f aca="false">IF($B29="","",ROW()-5)</f>
        <v/>
      </c>
      <c r="B29" s="48"/>
      <c r="C29" s="49"/>
      <c r="D29" s="50"/>
      <c r="E29" s="51"/>
      <c r="F29" s="52"/>
      <c r="G29" s="53"/>
      <c r="H29" s="50"/>
      <c r="I29" s="51"/>
      <c r="J29" s="53"/>
      <c r="K29" s="53"/>
      <c r="L29" s="39" t="str">
        <f aca="false">IF($B29="","",IF($H29="","보유중","청산"))</f>
        <v/>
      </c>
      <c r="M29" s="40" t="str">
        <f aca="false">IF($B29="","",$E29*$F29)</f>
        <v/>
      </c>
      <c r="N29" s="40" t="str">
        <f aca="false">IF($L29="청산",$I29*$F29,"")</f>
        <v/>
      </c>
      <c r="O29" s="40" t="str">
        <f aca="false">IF($B29="","",$G29+$J29+$K29)</f>
        <v/>
      </c>
      <c r="P29" s="41" t="str">
        <f aca="false">IF($L29="청산",$N29-$M29-$O29,"")</f>
        <v/>
      </c>
      <c r="Q29" s="42" t="str">
        <f aca="false">IF($L29="청산",IF($M29=0,"",$P29/$M29),"")</f>
        <v/>
      </c>
      <c r="R29" s="43" t="str">
        <f aca="true">IF($B29="","",IF($L29="청산",$H29-$D29,IF($D29="","",TODAY()-$D29)))</f>
        <v/>
      </c>
      <c r="S29" s="44" t="str">
        <f aca="false">IF($L29="청산",DATE(YEAR($H29),MONTH($H29),1),"")</f>
        <v/>
      </c>
      <c r="T29" s="48"/>
      <c r="U29" s="49"/>
      <c r="V29" s="46" t="str">
        <f aca="false">IF($B29="","",IF($L29&lt;&gt;"청산",N(V28),IF($P29&gt;0,N(V28)+1,0)))</f>
        <v/>
      </c>
      <c r="W29" s="46" t="str">
        <f aca="false">IF($B29="","",IF($L29&lt;&gt;"청산",N(W28),IF($P29&lt;0,N(W28)+1,0)))</f>
        <v/>
      </c>
    </row>
    <row r="30" customFormat="false" ht="15" hidden="false" customHeight="false" outlineLevel="0" collapsed="false">
      <c r="A30" s="32" t="str">
        <f aca="false">IF($B30="","",ROW()-5)</f>
        <v/>
      </c>
      <c r="B30" s="48"/>
      <c r="C30" s="49"/>
      <c r="D30" s="50"/>
      <c r="E30" s="51"/>
      <c r="F30" s="52"/>
      <c r="G30" s="53"/>
      <c r="H30" s="50"/>
      <c r="I30" s="51"/>
      <c r="J30" s="53"/>
      <c r="K30" s="53"/>
      <c r="L30" s="39" t="str">
        <f aca="false">IF($B30="","",IF($H30="","보유중","청산"))</f>
        <v/>
      </c>
      <c r="M30" s="40" t="str">
        <f aca="false">IF($B30="","",$E30*$F30)</f>
        <v/>
      </c>
      <c r="N30" s="40" t="str">
        <f aca="false">IF($L30="청산",$I30*$F30,"")</f>
        <v/>
      </c>
      <c r="O30" s="40" t="str">
        <f aca="false">IF($B30="","",$G30+$J30+$K30)</f>
        <v/>
      </c>
      <c r="P30" s="41" t="str">
        <f aca="false">IF($L30="청산",$N30-$M30-$O30,"")</f>
        <v/>
      </c>
      <c r="Q30" s="42" t="str">
        <f aca="false">IF($L30="청산",IF($M30=0,"",$P30/$M30),"")</f>
        <v/>
      </c>
      <c r="R30" s="43" t="str">
        <f aca="true">IF($B30="","",IF($L30="청산",$H30-$D30,IF($D30="","",TODAY()-$D30)))</f>
        <v/>
      </c>
      <c r="S30" s="44" t="str">
        <f aca="false">IF($L30="청산",DATE(YEAR($H30),MONTH($H30),1),"")</f>
        <v/>
      </c>
      <c r="T30" s="48"/>
      <c r="U30" s="49"/>
      <c r="V30" s="46" t="str">
        <f aca="false">IF($B30="","",IF($L30&lt;&gt;"청산",N(V29),IF($P30&gt;0,N(V29)+1,0)))</f>
        <v/>
      </c>
      <c r="W30" s="46" t="str">
        <f aca="false">IF($B30="","",IF($L30&lt;&gt;"청산",N(W29),IF($P30&lt;0,N(W29)+1,0)))</f>
        <v/>
      </c>
    </row>
    <row r="31" customFormat="false" ht="15" hidden="false" customHeight="false" outlineLevel="0" collapsed="false">
      <c r="A31" s="32" t="str">
        <f aca="false">IF($B31="","",ROW()-5)</f>
        <v/>
      </c>
      <c r="B31" s="48"/>
      <c r="C31" s="49"/>
      <c r="D31" s="50"/>
      <c r="E31" s="51"/>
      <c r="F31" s="52"/>
      <c r="G31" s="53"/>
      <c r="H31" s="50"/>
      <c r="I31" s="51"/>
      <c r="J31" s="53"/>
      <c r="K31" s="53"/>
      <c r="L31" s="39" t="str">
        <f aca="false">IF($B31="","",IF($H31="","보유중","청산"))</f>
        <v/>
      </c>
      <c r="M31" s="40" t="str">
        <f aca="false">IF($B31="","",$E31*$F31)</f>
        <v/>
      </c>
      <c r="N31" s="40" t="str">
        <f aca="false">IF($L31="청산",$I31*$F31,"")</f>
        <v/>
      </c>
      <c r="O31" s="40" t="str">
        <f aca="false">IF($B31="","",$G31+$J31+$K31)</f>
        <v/>
      </c>
      <c r="P31" s="41" t="str">
        <f aca="false">IF($L31="청산",$N31-$M31-$O31,"")</f>
        <v/>
      </c>
      <c r="Q31" s="42" t="str">
        <f aca="false">IF($L31="청산",IF($M31=0,"",$P31/$M31),"")</f>
        <v/>
      </c>
      <c r="R31" s="43" t="str">
        <f aca="true">IF($B31="","",IF($L31="청산",$H31-$D31,IF($D31="","",TODAY()-$D31)))</f>
        <v/>
      </c>
      <c r="S31" s="44" t="str">
        <f aca="false">IF($L31="청산",DATE(YEAR($H31),MONTH($H31),1),"")</f>
        <v/>
      </c>
      <c r="T31" s="48"/>
      <c r="U31" s="49"/>
      <c r="V31" s="46" t="str">
        <f aca="false">IF($B31="","",IF($L31&lt;&gt;"청산",N(V30),IF($P31&gt;0,N(V30)+1,0)))</f>
        <v/>
      </c>
      <c r="W31" s="46" t="str">
        <f aca="false">IF($B31="","",IF($L31&lt;&gt;"청산",N(W30),IF($P31&lt;0,N(W30)+1,0)))</f>
        <v/>
      </c>
    </row>
    <row r="32" customFormat="false" ht="15" hidden="false" customHeight="false" outlineLevel="0" collapsed="false">
      <c r="A32" s="32" t="str">
        <f aca="false">IF($B32="","",ROW()-5)</f>
        <v/>
      </c>
      <c r="B32" s="48"/>
      <c r="C32" s="49"/>
      <c r="D32" s="50"/>
      <c r="E32" s="51"/>
      <c r="F32" s="52"/>
      <c r="G32" s="53"/>
      <c r="H32" s="50"/>
      <c r="I32" s="51"/>
      <c r="J32" s="53"/>
      <c r="K32" s="53"/>
      <c r="L32" s="39" t="str">
        <f aca="false">IF($B32="","",IF($H32="","보유중","청산"))</f>
        <v/>
      </c>
      <c r="M32" s="40" t="str">
        <f aca="false">IF($B32="","",$E32*$F32)</f>
        <v/>
      </c>
      <c r="N32" s="40" t="str">
        <f aca="false">IF($L32="청산",$I32*$F32,"")</f>
        <v/>
      </c>
      <c r="O32" s="40" t="str">
        <f aca="false">IF($B32="","",$G32+$J32+$K32)</f>
        <v/>
      </c>
      <c r="P32" s="41" t="str">
        <f aca="false">IF($L32="청산",$N32-$M32-$O32,"")</f>
        <v/>
      </c>
      <c r="Q32" s="42" t="str">
        <f aca="false">IF($L32="청산",IF($M32=0,"",$P32/$M32),"")</f>
        <v/>
      </c>
      <c r="R32" s="43" t="str">
        <f aca="true">IF($B32="","",IF($L32="청산",$H32-$D32,IF($D32="","",TODAY()-$D32)))</f>
        <v/>
      </c>
      <c r="S32" s="44" t="str">
        <f aca="false">IF($L32="청산",DATE(YEAR($H32),MONTH($H32),1),"")</f>
        <v/>
      </c>
      <c r="T32" s="48"/>
      <c r="U32" s="49"/>
      <c r="V32" s="46" t="str">
        <f aca="false">IF($B32="","",IF($L32&lt;&gt;"청산",N(V31),IF($P32&gt;0,N(V31)+1,0)))</f>
        <v/>
      </c>
      <c r="W32" s="46" t="str">
        <f aca="false">IF($B32="","",IF($L32&lt;&gt;"청산",N(W31),IF($P32&lt;0,N(W31)+1,0)))</f>
        <v/>
      </c>
    </row>
    <row r="33" customFormat="false" ht="15" hidden="false" customHeight="false" outlineLevel="0" collapsed="false">
      <c r="A33" s="32" t="str">
        <f aca="false">IF($B33="","",ROW()-5)</f>
        <v/>
      </c>
      <c r="B33" s="48"/>
      <c r="C33" s="49"/>
      <c r="D33" s="50"/>
      <c r="E33" s="51"/>
      <c r="F33" s="52"/>
      <c r="G33" s="53"/>
      <c r="H33" s="50"/>
      <c r="I33" s="51"/>
      <c r="J33" s="53"/>
      <c r="K33" s="53"/>
      <c r="L33" s="39" t="str">
        <f aca="false">IF($B33="","",IF($H33="","보유중","청산"))</f>
        <v/>
      </c>
      <c r="M33" s="40" t="str">
        <f aca="false">IF($B33="","",$E33*$F33)</f>
        <v/>
      </c>
      <c r="N33" s="40" t="str">
        <f aca="false">IF($L33="청산",$I33*$F33,"")</f>
        <v/>
      </c>
      <c r="O33" s="40" t="str">
        <f aca="false">IF($B33="","",$G33+$J33+$K33)</f>
        <v/>
      </c>
      <c r="P33" s="41" t="str">
        <f aca="false">IF($L33="청산",$N33-$M33-$O33,"")</f>
        <v/>
      </c>
      <c r="Q33" s="42" t="str">
        <f aca="false">IF($L33="청산",IF($M33=0,"",$P33/$M33),"")</f>
        <v/>
      </c>
      <c r="R33" s="43" t="str">
        <f aca="true">IF($B33="","",IF($L33="청산",$H33-$D33,IF($D33="","",TODAY()-$D33)))</f>
        <v/>
      </c>
      <c r="S33" s="44" t="str">
        <f aca="false">IF($L33="청산",DATE(YEAR($H33),MONTH($H33),1),"")</f>
        <v/>
      </c>
      <c r="T33" s="48"/>
      <c r="U33" s="49"/>
      <c r="V33" s="46" t="str">
        <f aca="false">IF($B33="","",IF($L33&lt;&gt;"청산",N(V32),IF($P33&gt;0,N(V32)+1,0)))</f>
        <v/>
      </c>
      <c r="W33" s="46" t="str">
        <f aca="false">IF($B33="","",IF($L33&lt;&gt;"청산",N(W32),IF($P33&lt;0,N(W32)+1,0)))</f>
        <v/>
      </c>
    </row>
    <row r="34" customFormat="false" ht="15" hidden="false" customHeight="false" outlineLevel="0" collapsed="false">
      <c r="A34" s="32" t="str">
        <f aca="false">IF($B34="","",ROW()-5)</f>
        <v/>
      </c>
      <c r="B34" s="48"/>
      <c r="C34" s="49"/>
      <c r="D34" s="50"/>
      <c r="E34" s="51"/>
      <c r="F34" s="52"/>
      <c r="G34" s="53"/>
      <c r="H34" s="50"/>
      <c r="I34" s="51"/>
      <c r="J34" s="53"/>
      <c r="K34" s="53"/>
      <c r="L34" s="39" t="str">
        <f aca="false">IF($B34="","",IF($H34="","보유중","청산"))</f>
        <v/>
      </c>
      <c r="M34" s="40" t="str">
        <f aca="false">IF($B34="","",$E34*$F34)</f>
        <v/>
      </c>
      <c r="N34" s="40" t="str">
        <f aca="false">IF($L34="청산",$I34*$F34,"")</f>
        <v/>
      </c>
      <c r="O34" s="40" t="str">
        <f aca="false">IF($B34="","",$G34+$J34+$K34)</f>
        <v/>
      </c>
      <c r="P34" s="41" t="str">
        <f aca="false">IF($L34="청산",$N34-$M34-$O34,"")</f>
        <v/>
      </c>
      <c r="Q34" s="42" t="str">
        <f aca="false">IF($L34="청산",IF($M34=0,"",$P34/$M34),"")</f>
        <v/>
      </c>
      <c r="R34" s="43" t="str">
        <f aca="true">IF($B34="","",IF($L34="청산",$H34-$D34,IF($D34="","",TODAY()-$D34)))</f>
        <v/>
      </c>
      <c r="S34" s="44" t="str">
        <f aca="false">IF($L34="청산",DATE(YEAR($H34),MONTH($H34),1),"")</f>
        <v/>
      </c>
      <c r="T34" s="48"/>
      <c r="U34" s="49"/>
      <c r="V34" s="46" t="str">
        <f aca="false">IF($B34="","",IF($L34&lt;&gt;"청산",N(V33),IF($P34&gt;0,N(V33)+1,0)))</f>
        <v/>
      </c>
      <c r="W34" s="46" t="str">
        <f aca="false">IF($B34="","",IF($L34&lt;&gt;"청산",N(W33),IF($P34&lt;0,N(W33)+1,0)))</f>
        <v/>
      </c>
    </row>
    <row r="35" customFormat="false" ht="15" hidden="false" customHeight="false" outlineLevel="0" collapsed="false">
      <c r="A35" s="32" t="str">
        <f aca="false">IF($B35="","",ROW()-5)</f>
        <v/>
      </c>
      <c r="B35" s="48"/>
      <c r="C35" s="49"/>
      <c r="D35" s="50"/>
      <c r="E35" s="51"/>
      <c r="F35" s="52"/>
      <c r="G35" s="53"/>
      <c r="H35" s="50"/>
      <c r="I35" s="51"/>
      <c r="J35" s="53"/>
      <c r="K35" s="53"/>
      <c r="L35" s="39" t="str">
        <f aca="false">IF($B35="","",IF($H35="","보유중","청산"))</f>
        <v/>
      </c>
      <c r="M35" s="40" t="str">
        <f aca="false">IF($B35="","",$E35*$F35)</f>
        <v/>
      </c>
      <c r="N35" s="40" t="str">
        <f aca="false">IF($L35="청산",$I35*$F35,"")</f>
        <v/>
      </c>
      <c r="O35" s="40" t="str">
        <f aca="false">IF($B35="","",$G35+$J35+$K35)</f>
        <v/>
      </c>
      <c r="P35" s="41" t="str">
        <f aca="false">IF($L35="청산",$N35-$M35-$O35,"")</f>
        <v/>
      </c>
      <c r="Q35" s="42" t="str">
        <f aca="false">IF($L35="청산",IF($M35=0,"",$P35/$M35),"")</f>
        <v/>
      </c>
      <c r="R35" s="43" t="str">
        <f aca="true">IF($B35="","",IF($L35="청산",$H35-$D35,IF($D35="","",TODAY()-$D35)))</f>
        <v/>
      </c>
      <c r="S35" s="44" t="str">
        <f aca="false">IF($L35="청산",DATE(YEAR($H35),MONTH($H35),1),"")</f>
        <v/>
      </c>
      <c r="T35" s="48"/>
      <c r="U35" s="49"/>
      <c r="V35" s="46" t="str">
        <f aca="false">IF($B35="","",IF($L35&lt;&gt;"청산",N(V34),IF($P35&gt;0,N(V34)+1,0)))</f>
        <v/>
      </c>
      <c r="W35" s="46" t="str">
        <f aca="false">IF($B35="","",IF($L35&lt;&gt;"청산",N(W34),IF($P35&lt;0,N(W34)+1,0)))</f>
        <v/>
      </c>
    </row>
    <row r="36" customFormat="false" ht="15" hidden="false" customHeight="false" outlineLevel="0" collapsed="false">
      <c r="A36" s="32" t="str">
        <f aca="false">IF($B36="","",ROW()-5)</f>
        <v/>
      </c>
      <c r="B36" s="48"/>
      <c r="C36" s="49"/>
      <c r="D36" s="50"/>
      <c r="E36" s="51"/>
      <c r="F36" s="52"/>
      <c r="G36" s="53"/>
      <c r="H36" s="50"/>
      <c r="I36" s="51"/>
      <c r="J36" s="53"/>
      <c r="K36" s="53"/>
      <c r="L36" s="39" t="str">
        <f aca="false">IF($B36="","",IF($H36="","보유중","청산"))</f>
        <v/>
      </c>
      <c r="M36" s="40" t="str">
        <f aca="false">IF($B36="","",$E36*$F36)</f>
        <v/>
      </c>
      <c r="N36" s="40" t="str">
        <f aca="false">IF($L36="청산",$I36*$F36,"")</f>
        <v/>
      </c>
      <c r="O36" s="40" t="str">
        <f aca="false">IF($B36="","",$G36+$J36+$K36)</f>
        <v/>
      </c>
      <c r="P36" s="41" t="str">
        <f aca="false">IF($L36="청산",$N36-$M36-$O36,"")</f>
        <v/>
      </c>
      <c r="Q36" s="42" t="str">
        <f aca="false">IF($L36="청산",IF($M36=0,"",$P36/$M36),"")</f>
        <v/>
      </c>
      <c r="R36" s="43" t="str">
        <f aca="true">IF($B36="","",IF($L36="청산",$H36-$D36,IF($D36="","",TODAY()-$D36)))</f>
        <v/>
      </c>
      <c r="S36" s="44" t="str">
        <f aca="false">IF($L36="청산",DATE(YEAR($H36),MONTH($H36),1),"")</f>
        <v/>
      </c>
      <c r="T36" s="48"/>
      <c r="U36" s="49"/>
      <c r="V36" s="46" t="str">
        <f aca="false">IF($B36="","",IF($L36&lt;&gt;"청산",N(V35),IF($P36&gt;0,N(V35)+1,0)))</f>
        <v/>
      </c>
      <c r="W36" s="46" t="str">
        <f aca="false">IF($B36="","",IF($L36&lt;&gt;"청산",N(W35),IF($P36&lt;0,N(W35)+1,0)))</f>
        <v/>
      </c>
    </row>
    <row r="37" customFormat="false" ht="15" hidden="false" customHeight="false" outlineLevel="0" collapsed="false">
      <c r="A37" s="32" t="str">
        <f aca="false">IF($B37="","",ROW()-5)</f>
        <v/>
      </c>
      <c r="B37" s="48"/>
      <c r="C37" s="49"/>
      <c r="D37" s="50"/>
      <c r="E37" s="51"/>
      <c r="F37" s="52"/>
      <c r="G37" s="53"/>
      <c r="H37" s="50"/>
      <c r="I37" s="51"/>
      <c r="J37" s="53"/>
      <c r="K37" s="53"/>
      <c r="L37" s="39" t="str">
        <f aca="false">IF($B37="","",IF($H37="","보유중","청산"))</f>
        <v/>
      </c>
      <c r="M37" s="40" t="str">
        <f aca="false">IF($B37="","",$E37*$F37)</f>
        <v/>
      </c>
      <c r="N37" s="40" t="str">
        <f aca="false">IF($L37="청산",$I37*$F37,"")</f>
        <v/>
      </c>
      <c r="O37" s="40" t="str">
        <f aca="false">IF($B37="","",$G37+$J37+$K37)</f>
        <v/>
      </c>
      <c r="P37" s="41" t="str">
        <f aca="false">IF($L37="청산",$N37-$M37-$O37,"")</f>
        <v/>
      </c>
      <c r="Q37" s="42" t="str">
        <f aca="false">IF($L37="청산",IF($M37=0,"",$P37/$M37),"")</f>
        <v/>
      </c>
      <c r="R37" s="43" t="str">
        <f aca="true">IF($B37="","",IF($L37="청산",$H37-$D37,IF($D37="","",TODAY()-$D37)))</f>
        <v/>
      </c>
      <c r="S37" s="44" t="str">
        <f aca="false">IF($L37="청산",DATE(YEAR($H37),MONTH($H37),1),"")</f>
        <v/>
      </c>
      <c r="T37" s="48"/>
      <c r="U37" s="49"/>
      <c r="V37" s="46" t="str">
        <f aca="false">IF($B37="","",IF($L37&lt;&gt;"청산",N(V36),IF($P37&gt;0,N(V36)+1,0)))</f>
        <v/>
      </c>
      <c r="W37" s="46" t="str">
        <f aca="false">IF($B37="","",IF($L37&lt;&gt;"청산",N(W36),IF($P37&lt;0,N(W36)+1,0)))</f>
        <v/>
      </c>
    </row>
    <row r="38" customFormat="false" ht="15" hidden="false" customHeight="false" outlineLevel="0" collapsed="false">
      <c r="A38" s="32" t="str">
        <f aca="false">IF($B38="","",ROW()-5)</f>
        <v/>
      </c>
      <c r="B38" s="48"/>
      <c r="C38" s="49"/>
      <c r="D38" s="50"/>
      <c r="E38" s="51"/>
      <c r="F38" s="52"/>
      <c r="G38" s="53"/>
      <c r="H38" s="50"/>
      <c r="I38" s="51"/>
      <c r="J38" s="53"/>
      <c r="K38" s="53"/>
      <c r="L38" s="39" t="str">
        <f aca="false">IF($B38="","",IF($H38="","보유중","청산"))</f>
        <v/>
      </c>
      <c r="M38" s="40" t="str">
        <f aca="false">IF($B38="","",$E38*$F38)</f>
        <v/>
      </c>
      <c r="N38" s="40" t="str">
        <f aca="false">IF($L38="청산",$I38*$F38,"")</f>
        <v/>
      </c>
      <c r="O38" s="40" t="str">
        <f aca="false">IF($B38="","",$G38+$J38+$K38)</f>
        <v/>
      </c>
      <c r="P38" s="41" t="str">
        <f aca="false">IF($L38="청산",$N38-$M38-$O38,"")</f>
        <v/>
      </c>
      <c r="Q38" s="42" t="str">
        <f aca="false">IF($L38="청산",IF($M38=0,"",$P38/$M38),"")</f>
        <v/>
      </c>
      <c r="R38" s="43" t="str">
        <f aca="true">IF($B38="","",IF($L38="청산",$H38-$D38,IF($D38="","",TODAY()-$D38)))</f>
        <v/>
      </c>
      <c r="S38" s="44" t="str">
        <f aca="false">IF($L38="청산",DATE(YEAR($H38),MONTH($H38),1),"")</f>
        <v/>
      </c>
      <c r="T38" s="48"/>
      <c r="U38" s="49"/>
      <c r="V38" s="46" t="str">
        <f aca="false">IF($B38="","",IF($L38&lt;&gt;"청산",N(V37),IF($P38&gt;0,N(V37)+1,0)))</f>
        <v/>
      </c>
      <c r="W38" s="46" t="str">
        <f aca="false">IF($B38="","",IF($L38&lt;&gt;"청산",N(W37),IF($P38&lt;0,N(W37)+1,0)))</f>
        <v/>
      </c>
    </row>
    <row r="39" customFormat="false" ht="15" hidden="false" customHeight="false" outlineLevel="0" collapsed="false">
      <c r="A39" s="32" t="str">
        <f aca="false">IF($B39="","",ROW()-5)</f>
        <v/>
      </c>
      <c r="B39" s="48"/>
      <c r="C39" s="49"/>
      <c r="D39" s="50"/>
      <c r="E39" s="51"/>
      <c r="F39" s="52"/>
      <c r="G39" s="53"/>
      <c r="H39" s="50"/>
      <c r="I39" s="51"/>
      <c r="J39" s="53"/>
      <c r="K39" s="53"/>
      <c r="L39" s="39" t="str">
        <f aca="false">IF($B39="","",IF($H39="","보유중","청산"))</f>
        <v/>
      </c>
      <c r="M39" s="40" t="str">
        <f aca="false">IF($B39="","",$E39*$F39)</f>
        <v/>
      </c>
      <c r="N39" s="40" t="str">
        <f aca="false">IF($L39="청산",$I39*$F39,"")</f>
        <v/>
      </c>
      <c r="O39" s="40" t="str">
        <f aca="false">IF($B39="","",$G39+$J39+$K39)</f>
        <v/>
      </c>
      <c r="P39" s="41" t="str">
        <f aca="false">IF($L39="청산",$N39-$M39-$O39,"")</f>
        <v/>
      </c>
      <c r="Q39" s="42" t="str">
        <f aca="false">IF($L39="청산",IF($M39=0,"",$P39/$M39),"")</f>
        <v/>
      </c>
      <c r="R39" s="43" t="str">
        <f aca="true">IF($B39="","",IF($L39="청산",$H39-$D39,IF($D39="","",TODAY()-$D39)))</f>
        <v/>
      </c>
      <c r="S39" s="44" t="str">
        <f aca="false">IF($L39="청산",DATE(YEAR($H39),MONTH($H39),1),"")</f>
        <v/>
      </c>
      <c r="T39" s="48"/>
      <c r="U39" s="49"/>
      <c r="V39" s="46" t="str">
        <f aca="false">IF($B39="","",IF($L39&lt;&gt;"청산",N(V38),IF($P39&gt;0,N(V38)+1,0)))</f>
        <v/>
      </c>
      <c r="W39" s="46" t="str">
        <f aca="false">IF($B39="","",IF($L39&lt;&gt;"청산",N(W38),IF($P39&lt;0,N(W38)+1,0)))</f>
        <v/>
      </c>
    </row>
    <row r="40" customFormat="false" ht="15" hidden="false" customHeight="false" outlineLevel="0" collapsed="false">
      <c r="A40" s="32" t="str">
        <f aca="false">IF($B40="","",ROW()-5)</f>
        <v/>
      </c>
      <c r="B40" s="48"/>
      <c r="C40" s="49"/>
      <c r="D40" s="50"/>
      <c r="E40" s="51"/>
      <c r="F40" s="52"/>
      <c r="G40" s="53"/>
      <c r="H40" s="50"/>
      <c r="I40" s="51"/>
      <c r="J40" s="53"/>
      <c r="K40" s="53"/>
      <c r="L40" s="39" t="str">
        <f aca="false">IF($B40="","",IF($H40="","보유중","청산"))</f>
        <v/>
      </c>
      <c r="M40" s="40" t="str">
        <f aca="false">IF($B40="","",$E40*$F40)</f>
        <v/>
      </c>
      <c r="N40" s="40" t="str">
        <f aca="false">IF($L40="청산",$I40*$F40,"")</f>
        <v/>
      </c>
      <c r="O40" s="40" t="str">
        <f aca="false">IF($B40="","",$G40+$J40+$K40)</f>
        <v/>
      </c>
      <c r="P40" s="41" t="str">
        <f aca="false">IF($L40="청산",$N40-$M40-$O40,"")</f>
        <v/>
      </c>
      <c r="Q40" s="42" t="str">
        <f aca="false">IF($L40="청산",IF($M40=0,"",$P40/$M40),"")</f>
        <v/>
      </c>
      <c r="R40" s="43" t="str">
        <f aca="true">IF($B40="","",IF($L40="청산",$H40-$D40,IF($D40="","",TODAY()-$D40)))</f>
        <v/>
      </c>
      <c r="S40" s="44" t="str">
        <f aca="false">IF($L40="청산",DATE(YEAR($H40),MONTH($H40),1),"")</f>
        <v/>
      </c>
      <c r="T40" s="48"/>
      <c r="U40" s="49"/>
      <c r="V40" s="46" t="str">
        <f aca="false">IF($B40="","",IF($L40&lt;&gt;"청산",N(V39),IF($P40&gt;0,N(V39)+1,0)))</f>
        <v/>
      </c>
      <c r="W40" s="46" t="str">
        <f aca="false">IF($B40="","",IF($L40&lt;&gt;"청산",N(W39),IF($P40&lt;0,N(W39)+1,0)))</f>
        <v/>
      </c>
    </row>
    <row r="41" customFormat="false" ht="15" hidden="false" customHeight="false" outlineLevel="0" collapsed="false">
      <c r="A41" s="32" t="str">
        <f aca="false">IF($B41="","",ROW()-5)</f>
        <v/>
      </c>
      <c r="B41" s="48"/>
      <c r="C41" s="49"/>
      <c r="D41" s="50"/>
      <c r="E41" s="51"/>
      <c r="F41" s="52"/>
      <c r="G41" s="53"/>
      <c r="H41" s="50"/>
      <c r="I41" s="51"/>
      <c r="J41" s="53"/>
      <c r="K41" s="53"/>
      <c r="L41" s="39" t="str">
        <f aca="false">IF($B41="","",IF($H41="","보유중","청산"))</f>
        <v/>
      </c>
      <c r="M41" s="40" t="str">
        <f aca="false">IF($B41="","",$E41*$F41)</f>
        <v/>
      </c>
      <c r="N41" s="40" t="str">
        <f aca="false">IF($L41="청산",$I41*$F41,"")</f>
        <v/>
      </c>
      <c r="O41" s="40" t="str">
        <f aca="false">IF($B41="","",$G41+$J41+$K41)</f>
        <v/>
      </c>
      <c r="P41" s="41" t="str">
        <f aca="false">IF($L41="청산",$N41-$M41-$O41,"")</f>
        <v/>
      </c>
      <c r="Q41" s="42" t="str">
        <f aca="false">IF($L41="청산",IF($M41=0,"",$P41/$M41),"")</f>
        <v/>
      </c>
      <c r="R41" s="43" t="str">
        <f aca="true">IF($B41="","",IF($L41="청산",$H41-$D41,IF($D41="","",TODAY()-$D41)))</f>
        <v/>
      </c>
      <c r="S41" s="44" t="str">
        <f aca="false">IF($L41="청산",DATE(YEAR($H41),MONTH($H41),1),"")</f>
        <v/>
      </c>
      <c r="T41" s="48"/>
      <c r="U41" s="49"/>
      <c r="V41" s="46" t="str">
        <f aca="false">IF($B41="","",IF($L41&lt;&gt;"청산",N(V40),IF($P41&gt;0,N(V40)+1,0)))</f>
        <v/>
      </c>
      <c r="W41" s="46" t="str">
        <f aca="false">IF($B41="","",IF($L41&lt;&gt;"청산",N(W40),IF($P41&lt;0,N(W40)+1,0)))</f>
        <v/>
      </c>
    </row>
    <row r="42" customFormat="false" ht="15" hidden="false" customHeight="false" outlineLevel="0" collapsed="false">
      <c r="A42" s="32" t="str">
        <f aca="false">IF($B42="","",ROW()-5)</f>
        <v/>
      </c>
      <c r="B42" s="48"/>
      <c r="C42" s="49"/>
      <c r="D42" s="50"/>
      <c r="E42" s="51"/>
      <c r="F42" s="52"/>
      <c r="G42" s="53"/>
      <c r="H42" s="50"/>
      <c r="I42" s="51"/>
      <c r="J42" s="53"/>
      <c r="K42" s="53"/>
      <c r="L42" s="39" t="str">
        <f aca="false">IF($B42="","",IF($H42="","보유중","청산"))</f>
        <v/>
      </c>
      <c r="M42" s="40" t="str">
        <f aca="false">IF($B42="","",$E42*$F42)</f>
        <v/>
      </c>
      <c r="N42" s="40" t="str">
        <f aca="false">IF($L42="청산",$I42*$F42,"")</f>
        <v/>
      </c>
      <c r="O42" s="40" t="str">
        <f aca="false">IF($B42="","",$G42+$J42+$K42)</f>
        <v/>
      </c>
      <c r="P42" s="41" t="str">
        <f aca="false">IF($L42="청산",$N42-$M42-$O42,"")</f>
        <v/>
      </c>
      <c r="Q42" s="42" t="str">
        <f aca="false">IF($L42="청산",IF($M42=0,"",$P42/$M42),"")</f>
        <v/>
      </c>
      <c r="R42" s="43" t="str">
        <f aca="true">IF($B42="","",IF($L42="청산",$H42-$D42,IF($D42="","",TODAY()-$D42)))</f>
        <v/>
      </c>
      <c r="S42" s="44" t="str">
        <f aca="false">IF($L42="청산",DATE(YEAR($H42),MONTH($H42),1),"")</f>
        <v/>
      </c>
      <c r="T42" s="48"/>
      <c r="U42" s="49"/>
      <c r="V42" s="46" t="str">
        <f aca="false">IF($B42="","",IF($L42&lt;&gt;"청산",N(V41),IF($P42&gt;0,N(V41)+1,0)))</f>
        <v/>
      </c>
      <c r="W42" s="46" t="str">
        <f aca="false">IF($B42="","",IF($L42&lt;&gt;"청산",N(W41),IF($P42&lt;0,N(W41)+1,0)))</f>
        <v/>
      </c>
    </row>
    <row r="43" customFormat="false" ht="15" hidden="false" customHeight="false" outlineLevel="0" collapsed="false">
      <c r="A43" s="32" t="str">
        <f aca="false">IF($B43="","",ROW()-5)</f>
        <v/>
      </c>
      <c r="B43" s="48"/>
      <c r="C43" s="49"/>
      <c r="D43" s="50"/>
      <c r="E43" s="51"/>
      <c r="F43" s="52"/>
      <c r="G43" s="53"/>
      <c r="H43" s="50"/>
      <c r="I43" s="51"/>
      <c r="J43" s="53"/>
      <c r="K43" s="53"/>
      <c r="L43" s="39" t="str">
        <f aca="false">IF($B43="","",IF($H43="","보유중","청산"))</f>
        <v/>
      </c>
      <c r="M43" s="40" t="str">
        <f aca="false">IF($B43="","",$E43*$F43)</f>
        <v/>
      </c>
      <c r="N43" s="40" t="str">
        <f aca="false">IF($L43="청산",$I43*$F43,"")</f>
        <v/>
      </c>
      <c r="O43" s="40" t="str">
        <f aca="false">IF($B43="","",$G43+$J43+$K43)</f>
        <v/>
      </c>
      <c r="P43" s="41" t="str">
        <f aca="false">IF($L43="청산",$N43-$M43-$O43,"")</f>
        <v/>
      </c>
      <c r="Q43" s="42" t="str">
        <f aca="false">IF($L43="청산",IF($M43=0,"",$P43/$M43),"")</f>
        <v/>
      </c>
      <c r="R43" s="43" t="str">
        <f aca="true">IF($B43="","",IF($L43="청산",$H43-$D43,IF($D43="","",TODAY()-$D43)))</f>
        <v/>
      </c>
      <c r="S43" s="44" t="str">
        <f aca="false">IF($L43="청산",DATE(YEAR($H43),MONTH($H43),1),"")</f>
        <v/>
      </c>
      <c r="T43" s="48"/>
      <c r="U43" s="49"/>
      <c r="V43" s="46" t="str">
        <f aca="false">IF($B43="","",IF($L43&lt;&gt;"청산",N(V42),IF($P43&gt;0,N(V42)+1,0)))</f>
        <v/>
      </c>
      <c r="W43" s="46" t="str">
        <f aca="false">IF($B43="","",IF($L43&lt;&gt;"청산",N(W42),IF($P43&lt;0,N(W42)+1,0)))</f>
        <v/>
      </c>
    </row>
    <row r="44" customFormat="false" ht="15" hidden="false" customHeight="false" outlineLevel="0" collapsed="false">
      <c r="A44" s="32" t="str">
        <f aca="false">IF($B44="","",ROW()-5)</f>
        <v/>
      </c>
      <c r="B44" s="48"/>
      <c r="C44" s="49"/>
      <c r="D44" s="50"/>
      <c r="E44" s="51"/>
      <c r="F44" s="52"/>
      <c r="G44" s="53"/>
      <c r="H44" s="50"/>
      <c r="I44" s="51"/>
      <c r="J44" s="53"/>
      <c r="K44" s="53"/>
      <c r="L44" s="39" t="str">
        <f aca="false">IF($B44="","",IF($H44="","보유중","청산"))</f>
        <v/>
      </c>
      <c r="M44" s="40" t="str">
        <f aca="false">IF($B44="","",$E44*$F44)</f>
        <v/>
      </c>
      <c r="N44" s="40" t="str">
        <f aca="false">IF($L44="청산",$I44*$F44,"")</f>
        <v/>
      </c>
      <c r="O44" s="40" t="str">
        <f aca="false">IF($B44="","",$G44+$J44+$K44)</f>
        <v/>
      </c>
      <c r="P44" s="41" t="str">
        <f aca="false">IF($L44="청산",$N44-$M44-$O44,"")</f>
        <v/>
      </c>
      <c r="Q44" s="42" t="str">
        <f aca="false">IF($L44="청산",IF($M44=0,"",$P44/$M44),"")</f>
        <v/>
      </c>
      <c r="R44" s="43" t="str">
        <f aca="true">IF($B44="","",IF($L44="청산",$H44-$D44,IF($D44="","",TODAY()-$D44)))</f>
        <v/>
      </c>
      <c r="S44" s="44" t="str">
        <f aca="false">IF($L44="청산",DATE(YEAR($H44),MONTH($H44),1),"")</f>
        <v/>
      </c>
      <c r="T44" s="48"/>
      <c r="U44" s="49"/>
      <c r="V44" s="46" t="str">
        <f aca="false">IF($B44="","",IF($L44&lt;&gt;"청산",N(V43),IF($P44&gt;0,N(V43)+1,0)))</f>
        <v/>
      </c>
      <c r="W44" s="46" t="str">
        <f aca="false">IF($B44="","",IF($L44&lt;&gt;"청산",N(W43),IF($P44&lt;0,N(W43)+1,0)))</f>
        <v/>
      </c>
    </row>
    <row r="45" customFormat="false" ht="15" hidden="false" customHeight="false" outlineLevel="0" collapsed="false">
      <c r="A45" s="32" t="str">
        <f aca="false">IF($B45="","",ROW()-5)</f>
        <v/>
      </c>
      <c r="B45" s="48"/>
      <c r="C45" s="49"/>
      <c r="D45" s="50"/>
      <c r="E45" s="51"/>
      <c r="F45" s="52"/>
      <c r="G45" s="53"/>
      <c r="H45" s="50"/>
      <c r="I45" s="51"/>
      <c r="J45" s="53"/>
      <c r="K45" s="53"/>
      <c r="L45" s="39" t="str">
        <f aca="false">IF($B45="","",IF($H45="","보유중","청산"))</f>
        <v/>
      </c>
      <c r="M45" s="40" t="str">
        <f aca="false">IF($B45="","",$E45*$F45)</f>
        <v/>
      </c>
      <c r="N45" s="40" t="str">
        <f aca="false">IF($L45="청산",$I45*$F45,"")</f>
        <v/>
      </c>
      <c r="O45" s="40" t="str">
        <f aca="false">IF($B45="","",$G45+$J45+$K45)</f>
        <v/>
      </c>
      <c r="P45" s="41" t="str">
        <f aca="false">IF($L45="청산",$N45-$M45-$O45,"")</f>
        <v/>
      </c>
      <c r="Q45" s="42" t="str">
        <f aca="false">IF($L45="청산",IF($M45=0,"",$P45/$M45),"")</f>
        <v/>
      </c>
      <c r="R45" s="43" t="str">
        <f aca="true">IF($B45="","",IF($L45="청산",$H45-$D45,IF($D45="","",TODAY()-$D45)))</f>
        <v/>
      </c>
      <c r="S45" s="44" t="str">
        <f aca="false">IF($L45="청산",DATE(YEAR($H45),MONTH($H45),1),"")</f>
        <v/>
      </c>
      <c r="T45" s="48"/>
      <c r="U45" s="49"/>
      <c r="V45" s="46" t="str">
        <f aca="false">IF($B45="","",IF($L45&lt;&gt;"청산",N(V44),IF($P45&gt;0,N(V44)+1,0)))</f>
        <v/>
      </c>
      <c r="W45" s="46" t="str">
        <f aca="false">IF($B45="","",IF($L45&lt;&gt;"청산",N(W44),IF($P45&lt;0,N(W44)+1,0)))</f>
        <v/>
      </c>
    </row>
    <row r="46" customFormat="false" ht="15" hidden="false" customHeight="false" outlineLevel="0" collapsed="false">
      <c r="A46" s="32" t="str">
        <f aca="false">IF($B46="","",ROW()-5)</f>
        <v/>
      </c>
      <c r="B46" s="48"/>
      <c r="C46" s="49"/>
      <c r="D46" s="50"/>
      <c r="E46" s="51"/>
      <c r="F46" s="52"/>
      <c r="G46" s="53"/>
      <c r="H46" s="50"/>
      <c r="I46" s="51"/>
      <c r="J46" s="53"/>
      <c r="K46" s="53"/>
      <c r="L46" s="39" t="str">
        <f aca="false">IF($B46="","",IF($H46="","보유중","청산"))</f>
        <v/>
      </c>
      <c r="M46" s="40" t="str">
        <f aca="false">IF($B46="","",$E46*$F46)</f>
        <v/>
      </c>
      <c r="N46" s="40" t="str">
        <f aca="false">IF($L46="청산",$I46*$F46,"")</f>
        <v/>
      </c>
      <c r="O46" s="40" t="str">
        <f aca="false">IF($B46="","",$G46+$J46+$K46)</f>
        <v/>
      </c>
      <c r="P46" s="41" t="str">
        <f aca="false">IF($L46="청산",$N46-$M46-$O46,"")</f>
        <v/>
      </c>
      <c r="Q46" s="42" t="str">
        <f aca="false">IF($L46="청산",IF($M46=0,"",$P46/$M46),"")</f>
        <v/>
      </c>
      <c r="R46" s="43" t="str">
        <f aca="true">IF($B46="","",IF($L46="청산",$H46-$D46,IF($D46="","",TODAY()-$D46)))</f>
        <v/>
      </c>
      <c r="S46" s="44" t="str">
        <f aca="false">IF($L46="청산",DATE(YEAR($H46),MONTH($H46),1),"")</f>
        <v/>
      </c>
      <c r="T46" s="48"/>
      <c r="U46" s="49"/>
      <c r="V46" s="46" t="str">
        <f aca="false">IF($B46="","",IF($L46&lt;&gt;"청산",N(V45),IF($P46&gt;0,N(V45)+1,0)))</f>
        <v/>
      </c>
      <c r="W46" s="46" t="str">
        <f aca="false">IF($B46="","",IF($L46&lt;&gt;"청산",N(W45),IF($P46&lt;0,N(W45)+1,0)))</f>
        <v/>
      </c>
    </row>
    <row r="47" customFormat="false" ht="15" hidden="false" customHeight="false" outlineLevel="0" collapsed="false">
      <c r="A47" s="32" t="str">
        <f aca="false">IF($B47="","",ROW()-5)</f>
        <v/>
      </c>
      <c r="B47" s="48"/>
      <c r="C47" s="49"/>
      <c r="D47" s="50"/>
      <c r="E47" s="51"/>
      <c r="F47" s="52"/>
      <c r="G47" s="53"/>
      <c r="H47" s="50"/>
      <c r="I47" s="51"/>
      <c r="J47" s="53"/>
      <c r="K47" s="53"/>
      <c r="L47" s="39" t="str">
        <f aca="false">IF($B47="","",IF($H47="","보유중","청산"))</f>
        <v/>
      </c>
      <c r="M47" s="40" t="str">
        <f aca="false">IF($B47="","",$E47*$F47)</f>
        <v/>
      </c>
      <c r="N47" s="40" t="str">
        <f aca="false">IF($L47="청산",$I47*$F47,"")</f>
        <v/>
      </c>
      <c r="O47" s="40" t="str">
        <f aca="false">IF($B47="","",$G47+$J47+$K47)</f>
        <v/>
      </c>
      <c r="P47" s="41" t="str">
        <f aca="false">IF($L47="청산",$N47-$M47-$O47,"")</f>
        <v/>
      </c>
      <c r="Q47" s="42" t="str">
        <f aca="false">IF($L47="청산",IF($M47=0,"",$P47/$M47),"")</f>
        <v/>
      </c>
      <c r="R47" s="43" t="str">
        <f aca="true">IF($B47="","",IF($L47="청산",$H47-$D47,IF($D47="","",TODAY()-$D47)))</f>
        <v/>
      </c>
      <c r="S47" s="44" t="str">
        <f aca="false">IF($L47="청산",DATE(YEAR($H47),MONTH($H47),1),"")</f>
        <v/>
      </c>
      <c r="T47" s="48"/>
      <c r="U47" s="49"/>
      <c r="V47" s="46" t="str">
        <f aca="false">IF($B47="","",IF($L47&lt;&gt;"청산",N(V46),IF($P47&gt;0,N(V46)+1,0)))</f>
        <v/>
      </c>
      <c r="W47" s="46" t="str">
        <f aca="false">IF($B47="","",IF($L47&lt;&gt;"청산",N(W46),IF($P47&lt;0,N(W46)+1,0)))</f>
        <v/>
      </c>
    </row>
    <row r="48" customFormat="false" ht="15" hidden="false" customHeight="false" outlineLevel="0" collapsed="false">
      <c r="A48" s="32" t="str">
        <f aca="false">IF($B48="","",ROW()-5)</f>
        <v/>
      </c>
      <c r="B48" s="48"/>
      <c r="C48" s="49"/>
      <c r="D48" s="50"/>
      <c r="E48" s="51"/>
      <c r="F48" s="52"/>
      <c r="G48" s="53"/>
      <c r="H48" s="50"/>
      <c r="I48" s="51"/>
      <c r="J48" s="53"/>
      <c r="K48" s="53"/>
      <c r="L48" s="39" t="str">
        <f aca="false">IF($B48="","",IF($H48="","보유중","청산"))</f>
        <v/>
      </c>
      <c r="M48" s="40" t="str">
        <f aca="false">IF($B48="","",$E48*$F48)</f>
        <v/>
      </c>
      <c r="N48" s="40" t="str">
        <f aca="false">IF($L48="청산",$I48*$F48,"")</f>
        <v/>
      </c>
      <c r="O48" s="40" t="str">
        <f aca="false">IF($B48="","",$G48+$J48+$K48)</f>
        <v/>
      </c>
      <c r="P48" s="41" t="str">
        <f aca="false">IF($L48="청산",$N48-$M48-$O48,"")</f>
        <v/>
      </c>
      <c r="Q48" s="42" t="str">
        <f aca="false">IF($L48="청산",IF($M48=0,"",$P48/$M48),"")</f>
        <v/>
      </c>
      <c r="R48" s="43" t="str">
        <f aca="true">IF($B48="","",IF($L48="청산",$H48-$D48,IF($D48="","",TODAY()-$D48)))</f>
        <v/>
      </c>
      <c r="S48" s="44" t="str">
        <f aca="false">IF($L48="청산",DATE(YEAR($H48),MONTH($H48),1),"")</f>
        <v/>
      </c>
      <c r="T48" s="48"/>
      <c r="U48" s="49"/>
      <c r="V48" s="46" t="str">
        <f aca="false">IF($B48="","",IF($L48&lt;&gt;"청산",N(V47),IF($P48&gt;0,N(V47)+1,0)))</f>
        <v/>
      </c>
      <c r="W48" s="46" t="str">
        <f aca="false">IF($B48="","",IF($L48&lt;&gt;"청산",N(W47),IF($P48&lt;0,N(W47)+1,0)))</f>
        <v/>
      </c>
    </row>
    <row r="49" customFormat="false" ht="15" hidden="false" customHeight="false" outlineLevel="0" collapsed="false">
      <c r="A49" s="32" t="str">
        <f aca="false">IF($B49="","",ROW()-5)</f>
        <v/>
      </c>
      <c r="B49" s="48"/>
      <c r="C49" s="49"/>
      <c r="D49" s="50"/>
      <c r="E49" s="51"/>
      <c r="F49" s="52"/>
      <c r="G49" s="53"/>
      <c r="H49" s="50"/>
      <c r="I49" s="51"/>
      <c r="J49" s="53"/>
      <c r="K49" s="53"/>
      <c r="L49" s="39" t="str">
        <f aca="false">IF($B49="","",IF($H49="","보유중","청산"))</f>
        <v/>
      </c>
      <c r="M49" s="40" t="str">
        <f aca="false">IF($B49="","",$E49*$F49)</f>
        <v/>
      </c>
      <c r="N49" s="40" t="str">
        <f aca="false">IF($L49="청산",$I49*$F49,"")</f>
        <v/>
      </c>
      <c r="O49" s="40" t="str">
        <f aca="false">IF($B49="","",$G49+$J49+$K49)</f>
        <v/>
      </c>
      <c r="P49" s="41" t="str">
        <f aca="false">IF($L49="청산",$N49-$M49-$O49,"")</f>
        <v/>
      </c>
      <c r="Q49" s="42" t="str">
        <f aca="false">IF($L49="청산",IF($M49=0,"",$P49/$M49),"")</f>
        <v/>
      </c>
      <c r="R49" s="43" t="str">
        <f aca="true">IF($B49="","",IF($L49="청산",$H49-$D49,IF($D49="","",TODAY()-$D49)))</f>
        <v/>
      </c>
      <c r="S49" s="44" t="str">
        <f aca="false">IF($L49="청산",DATE(YEAR($H49),MONTH($H49),1),"")</f>
        <v/>
      </c>
      <c r="T49" s="48"/>
      <c r="U49" s="49"/>
      <c r="V49" s="46" t="str">
        <f aca="false">IF($B49="","",IF($L49&lt;&gt;"청산",N(V48),IF($P49&gt;0,N(V48)+1,0)))</f>
        <v/>
      </c>
      <c r="W49" s="46" t="str">
        <f aca="false">IF($B49="","",IF($L49&lt;&gt;"청산",N(W48),IF($P49&lt;0,N(W48)+1,0)))</f>
        <v/>
      </c>
    </row>
    <row r="50" customFormat="false" ht="15" hidden="false" customHeight="false" outlineLevel="0" collapsed="false">
      <c r="A50" s="32" t="str">
        <f aca="false">IF($B50="","",ROW()-5)</f>
        <v/>
      </c>
      <c r="B50" s="48"/>
      <c r="C50" s="49"/>
      <c r="D50" s="50"/>
      <c r="E50" s="51"/>
      <c r="F50" s="52"/>
      <c r="G50" s="53"/>
      <c r="H50" s="50"/>
      <c r="I50" s="51"/>
      <c r="J50" s="53"/>
      <c r="K50" s="53"/>
      <c r="L50" s="39" t="str">
        <f aca="false">IF($B50="","",IF($H50="","보유중","청산"))</f>
        <v/>
      </c>
      <c r="M50" s="40" t="str">
        <f aca="false">IF($B50="","",$E50*$F50)</f>
        <v/>
      </c>
      <c r="N50" s="40" t="str">
        <f aca="false">IF($L50="청산",$I50*$F50,"")</f>
        <v/>
      </c>
      <c r="O50" s="40" t="str">
        <f aca="false">IF($B50="","",$G50+$J50+$K50)</f>
        <v/>
      </c>
      <c r="P50" s="41" t="str">
        <f aca="false">IF($L50="청산",$N50-$M50-$O50,"")</f>
        <v/>
      </c>
      <c r="Q50" s="42" t="str">
        <f aca="false">IF($L50="청산",IF($M50=0,"",$P50/$M50),"")</f>
        <v/>
      </c>
      <c r="R50" s="43" t="str">
        <f aca="true">IF($B50="","",IF($L50="청산",$H50-$D50,IF($D50="","",TODAY()-$D50)))</f>
        <v/>
      </c>
      <c r="S50" s="44" t="str">
        <f aca="false">IF($L50="청산",DATE(YEAR($H50),MONTH($H50),1),"")</f>
        <v/>
      </c>
      <c r="T50" s="48"/>
      <c r="U50" s="49"/>
      <c r="V50" s="46" t="str">
        <f aca="false">IF($B50="","",IF($L50&lt;&gt;"청산",N(V49),IF($P50&gt;0,N(V49)+1,0)))</f>
        <v/>
      </c>
      <c r="W50" s="46" t="str">
        <f aca="false">IF($B50="","",IF($L50&lt;&gt;"청산",N(W49),IF($P50&lt;0,N(W49)+1,0)))</f>
        <v/>
      </c>
    </row>
    <row r="51" customFormat="false" ht="15" hidden="false" customHeight="false" outlineLevel="0" collapsed="false">
      <c r="A51" s="32" t="str">
        <f aca="false">IF($B51="","",ROW()-5)</f>
        <v/>
      </c>
      <c r="B51" s="48"/>
      <c r="C51" s="49"/>
      <c r="D51" s="50"/>
      <c r="E51" s="51"/>
      <c r="F51" s="52"/>
      <c r="G51" s="53"/>
      <c r="H51" s="50"/>
      <c r="I51" s="51"/>
      <c r="J51" s="53"/>
      <c r="K51" s="53"/>
      <c r="L51" s="39" t="str">
        <f aca="false">IF($B51="","",IF($H51="","보유중","청산"))</f>
        <v/>
      </c>
      <c r="M51" s="40" t="str">
        <f aca="false">IF($B51="","",$E51*$F51)</f>
        <v/>
      </c>
      <c r="N51" s="40" t="str">
        <f aca="false">IF($L51="청산",$I51*$F51,"")</f>
        <v/>
      </c>
      <c r="O51" s="40" t="str">
        <f aca="false">IF($B51="","",$G51+$J51+$K51)</f>
        <v/>
      </c>
      <c r="P51" s="41" t="str">
        <f aca="false">IF($L51="청산",$N51-$M51-$O51,"")</f>
        <v/>
      </c>
      <c r="Q51" s="42" t="str">
        <f aca="false">IF($L51="청산",IF($M51=0,"",$P51/$M51),"")</f>
        <v/>
      </c>
      <c r="R51" s="43" t="str">
        <f aca="true">IF($B51="","",IF($L51="청산",$H51-$D51,IF($D51="","",TODAY()-$D51)))</f>
        <v/>
      </c>
      <c r="S51" s="44" t="str">
        <f aca="false">IF($L51="청산",DATE(YEAR($H51),MONTH($H51),1),"")</f>
        <v/>
      </c>
      <c r="T51" s="48"/>
      <c r="U51" s="49"/>
      <c r="V51" s="46" t="str">
        <f aca="false">IF($B51="","",IF($L51&lt;&gt;"청산",N(V50),IF($P51&gt;0,N(V50)+1,0)))</f>
        <v/>
      </c>
      <c r="W51" s="46" t="str">
        <f aca="false">IF($B51="","",IF($L51&lt;&gt;"청산",N(W50),IF($P51&lt;0,N(W50)+1,0)))</f>
        <v/>
      </c>
    </row>
    <row r="52" customFormat="false" ht="15" hidden="false" customHeight="false" outlineLevel="0" collapsed="false">
      <c r="A52" s="32" t="str">
        <f aca="false">IF($B52="","",ROW()-5)</f>
        <v/>
      </c>
      <c r="B52" s="48"/>
      <c r="C52" s="49"/>
      <c r="D52" s="50"/>
      <c r="E52" s="51"/>
      <c r="F52" s="52"/>
      <c r="G52" s="53"/>
      <c r="H52" s="50"/>
      <c r="I52" s="51"/>
      <c r="J52" s="53"/>
      <c r="K52" s="53"/>
      <c r="L52" s="39" t="str">
        <f aca="false">IF($B52="","",IF($H52="","보유중","청산"))</f>
        <v/>
      </c>
      <c r="M52" s="40" t="str">
        <f aca="false">IF($B52="","",$E52*$F52)</f>
        <v/>
      </c>
      <c r="N52" s="40" t="str">
        <f aca="false">IF($L52="청산",$I52*$F52,"")</f>
        <v/>
      </c>
      <c r="O52" s="40" t="str">
        <f aca="false">IF($B52="","",$G52+$J52+$K52)</f>
        <v/>
      </c>
      <c r="P52" s="41" t="str">
        <f aca="false">IF($L52="청산",$N52-$M52-$O52,"")</f>
        <v/>
      </c>
      <c r="Q52" s="42" t="str">
        <f aca="false">IF($L52="청산",IF($M52=0,"",$P52/$M52),"")</f>
        <v/>
      </c>
      <c r="R52" s="43" t="str">
        <f aca="true">IF($B52="","",IF($L52="청산",$H52-$D52,IF($D52="","",TODAY()-$D52)))</f>
        <v/>
      </c>
      <c r="S52" s="44" t="str">
        <f aca="false">IF($L52="청산",DATE(YEAR($H52),MONTH($H52),1),"")</f>
        <v/>
      </c>
      <c r="T52" s="48"/>
      <c r="U52" s="49"/>
      <c r="V52" s="46" t="str">
        <f aca="false">IF($B52="","",IF($L52&lt;&gt;"청산",N(V51),IF($P52&gt;0,N(V51)+1,0)))</f>
        <v/>
      </c>
      <c r="W52" s="46" t="str">
        <f aca="false">IF($B52="","",IF($L52&lt;&gt;"청산",N(W51),IF($P52&lt;0,N(W51)+1,0)))</f>
        <v/>
      </c>
    </row>
    <row r="53" customFormat="false" ht="15" hidden="false" customHeight="false" outlineLevel="0" collapsed="false">
      <c r="A53" s="32" t="str">
        <f aca="false">IF($B53="","",ROW()-5)</f>
        <v/>
      </c>
      <c r="B53" s="48"/>
      <c r="C53" s="49"/>
      <c r="D53" s="50"/>
      <c r="E53" s="51"/>
      <c r="F53" s="52"/>
      <c r="G53" s="53"/>
      <c r="H53" s="50"/>
      <c r="I53" s="51"/>
      <c r="J53" s="53"/>
      <c r="K53" s="53"/>
      <c r="L53" s="39" t="str">
        <f aca="false">IF($B53="","",IF($H53="","보유중","청산"))</f>
        <v/>
      </c>
      <c r="M53" s="40" t="str">
        <f aca="false">IF($B53="","",$E53*$F53)</f>
        <v/>
      </c>
      <c r="N53" s="40" t="str">
        <f aca="false">IF($L53="청산",$I53*$F53,"")</f>
        <v/>
      </c>
      <c r="O53" s="40" t="str">
        <f aca="false">IF($B53="","",$G53+$J53+$K53)</f>
        <v/>
      </c>
      <c r="P53" s="41" t="str">
        <f aca="false">IF($L53="청산",$N53-$M53-$O53,"")</f>
        <v/>
      </c>
      <c r="Q53" s="42" t="str">
        <f aca="false">IF($L53="청산",IF($M53=0,"",$P53/$M53),"")</f>
        <v/>
      </c>
      <c r="R53" s="43" t="str">
        <f aca="true">IF($B53="","",IF($L53="청산",$H53-$D53,IF($D53="","",TODAY()-$D53)))</f>
        <v/>
      </c>
      <c r="S53" s="44" t="str">
        <f aca="false">IF($L53="청산",DATE(YEAR($H53),MONTH($H53),1),"")</f>
        <v/>
      </c>
      <c r="T53" s="48"/>
      <c r="U53" s="49"/>
      <c r="V53" s="46" t="str">
        <f aca="false">IF($B53="","",IF($L53&lt;&gt;"청산",N(V52),IF($P53&gt;0,N(V52)+1,0)))</f>
        <v/>
      </c>
      <c r="W53" s="46" t="str">
        <f aca="false">IF($B53="","",IF($L53&lt;&gt;"청산",N(W52),IF($P53&lt;0,N(W52)+1,0)))</f>
        <v/>
      </c>
    </row>
    <row r="54" customFormat="false" ht="15" hidden="false" customHeight="false" outlineLevel="0" collapsed="false">
      <c r="A54" s="32" t="str">
        <f aca="false">IF($B54="","",ROW()-5)</f>
        <v/>
      </c>
      <c r="B54" s="48"/>
      <c r="C54" s="49"/>
      <c r="D54" s="50"/>
      <c r="E54" s="51"/>
      <c r="F54" s="52"/>
      <c r="G54" s="53"/>
      <c r="H54" s="50"/>
      <c r="I54" s="51"/>
      <c r="J54" s="53"/>
      <c r="K54" s="53"/>
      <c r="L54" s="39" t="str">
        <f aca="false">IF($B54="","",IF($H54="","보유중","청산"))</f>
        <v/>
      </c>
      <c r="M54" s="40" t="str">
        <f aca="false">IF($B54="","",$E54*$F54)</f>
        <v/>
      </c>
      <c r="N54" s="40" t="str">
        <f aca="false">IF($L54="청산",$I54*$F54,"")</f>
        <v/>
      </c>
      <c r="O54" s="40" t="str">
        <f aca="false">IF($B54="","",$G54+$J54+$K54)</f>
        <v/>
      </c>
      <c r="P54" s="41" t="str">
        <f aca="false">IF($L54="청산",$N54-$M54-$O54,"")</f>
        <v/>
      </c>
      <c r="Q54" s="42" t="str">
        <f aca="false">IF($L54="청산",IF($M54=0,"",$P54/$M54),"")</f>
        <v/>
      </c>
      <c r="R54" s="43" t="str">
        <f aca="true">IF($B54="","",IF($L54="청산",$H54-$D54,IF($D54="","",TODAY()-$D54)))</f>
        <v/>
      </c>
      <c r="S54" s="44" t="str">
        <f aca="false">IF($L54="청산",DATE(YEAR($H54),MONTH($H54),1),"")</f>
        <v/>
      </c>
      <c r="T54" s="48"/>
      <c r="U54" s="49"/>
      <c r="V54" s="46" t="str">
        <f aca="false">IF($B54="","",IF($L54&lt;&gt;"청산",N(V53),IF($P54&gt;0,N(V53)+1,0)))</f>
        <v/>
      </c>
      <c r="W54" s="46" t="str">
        <f aca="false">IF($B54="","",IF($L54&lt;&gt;"청산",N(W53),IF($P54&lt;0,N(W53)+1,0)))</f>
        <v/>
      </c>
    </row>
    <row r="55" customFormat="false" ht="15" hidden="false" customHeight="false" outlineLevel="0" collapsed="false">
      <c r="A55" s="32" t="str">
        <f aca="false">IF($B55="","",ROW()-5)</f>
        <v/>
      </c>
      <c r="B55" s="48"/>
      <c r="C55" s="49"/>
      <c r="D55" s="50"/>
      <c r="E55" s="51"/>
      <c r="F55" s="52"/>
      <c r="G55" s="53"/>
      <c r="H55" s="50"/>
      <c r="I55" s="51"/>
      <c r="J55" s="53"/>
      <c r="K55" s="53"/>
      <c r="L55" s="39" t="str">
        <f aca="false">IF($B55="","",IF($H55="","보유중","청산"))</f>
        <v/>
      </c>
      <c r="M55" s="40" t="str">
        <f aca="false">IF($B55="","",$E55*$F55)</f>
        <v/>
      </c>
      <c r="N55" s="40" t="str">
        <f aca="false">IF($L55="청산",$I55*$F55,"")</f>
        <v/>
      </c>
      <c r="O55" s="40" t="str">
        <f aca="false">IF($B55="","",$G55+$J55+$K55)</f>
        <v/>
      </c>
      <c r="P55" s="41" t="str">
        <f aca="false">IF($L55="청산",$N55-$M55-$O55,"")</f>
        <v/>
      </c>
      <c r="Q55" s="42" t="str">
        <f aca="false">IF($L55="청산",IF($M55=0,"",$P55/$M55),"")</f>
        <v/>
      </c>
      <c r="R55" s="43" t="str">
        <f aca="true">IF($B55="","",IF($L55="청산",$H55-$D55,IF($D55="","",TODAY()-$D55)))</f>
        <v/>
      </c>
      <c r="S55" s="44" t="str">
        <f aca="false">IF($L55="청산",DATE(YEAR($H55),MONTH($H55),1),"")</f>
        <v/>
      </c>
      <c r="T55" s="48"/>
      <c r="U55" s="49"/>
      <c r="V55" s="46" t="str">
        <f aca="false">IF($B55="","",IF($L55&lt;&gt;"청산",N(V54),IF($P55&gt;0,N(V54)+1,0)))</f>
        <v/>
      </c>
      <c r="W55" s="46" t="str">
        <f aca="false">IF($B55="","",IF($L55&lt;&gt;"청산",N(W54),IF($P55&lt;0,N(W54)+1,0)))</f>
        <v/>
      </c>
    </row>
    <row r="56" customFormat="false" ht="15" hidden="false" customHeight="false" outlineLevel="0" collapsed="false">
      <c r="A56" s="32" t="str">
        <f aca="false">IF($B56="","",ROW()-5)</f>
        <v/>
      </c>
      <c r="B56" s="48"/>
      <c r="C56" s="49"/>
      <c r="D56" s="50"/>
      <c r="E56" s="51"/>
      <c r="F56" s="52"/>
      <c r="G56" s="53"/>
      <c r="H56" s="50"/>
      <c r="I56" s="51"/>
      <c r="J56" s="53"/>
      <c r="K56" s="53"/>
      <c r="L56" s="39" t="str">
        <f aca="false">IF($B56="","",IF($H56="","보유중","청산"))</f>
        <v/>
      </c>
      <c r="M56" s="40" t="str">
        <f aca="false">IF($B56="","",$E56*$F56)</f>
        <v/>
      </c>
      <c r="N56" s="40" t="str">
        <f aca="false">IF($L56="청산",$I56*$F56,"")</f>
        <v/>
      </c>
      <c r="O56" s="40" t="str">
        <f aca="false">IF($B56="","",$G56+$J56+$K56)</f>
        <v/>
      </c>
      <c r="P56" s="41" t="str">
        <f aca="false">IF($L56="청산",$N56-$M56-$O56,"")</f>
        <v/>
      </c>
      <c r="Q56" s="42" t="str">
        <f aca="false">IF($L56="청산",IF($M56=0,"",$P56/$M56),"")</f>
        <v/>
      </c>
      <c r="R56" s="43" t="str">
        <f aca="true">IF($B56="","",IF($L56="청산",$H56-$D56,IF($D56="","",TODAY()-$D56)))</f>
        <v/>
      </c>
      <c r="S56" s="44" t="str">
        <f aca="false">IF($L56="청산",DATE(YEAR($H56),MONTH($H56),1),"")</f>
        <v/>
      </c>
      <c r="T56" s="48"/>
      <c r="U56" s="49"/>
      <c r="V56" s="46" t="str">
        <f aca="false">IF($B56="","",IF($L56&lt;&gt;"청산",N(V55),IF($P56&gt;0,N(V55)+1,0)))</f>
        <v/>
      </c>
      <c r="W56" s="46" t="str">
        <f aca="false">IF($B56="","",IF($L56&lt;&gt;"청산",N(W55),IF($P56&lt;0,N(W55)+1,0)))</f>
        <v/>
      </c>
    </row>
    <row r="57" customFormat="false" ht="15" hidden="false" customHeight="false" outlineLevel="0" collapsed="false">
      <c r="A57" s="32" t="str">
        <f aca="false">IF($B57="","",ROW()-5)</f>
        <v/>
      </c>
      <c r="B57" s="48"/>
      <c r="C57" s="49"/>
      <c r="D57" s="50"/>
      <c r="E57" s="51"/>
      <c r="F57" s="52"/>
      <c r="G57" s="53"/>
      <c r="H57" s="50"/>
      <c r="I57" s="51"/>
      <c r="J57" s="53"/>
      <c r="K57" s="53"/>
      <c r="L57" s="39" t="str">
        <f aca="false">IF($B57="","",IF($H57="","보유중","청산"))</f>
        <v/>
      </c>
      <c r="M57" s="40" t="str">
        <f aca="false">IF($B57="","",$E57*$F57)</f>
        <v/>
      </c>
      <c r="N57" s="40" t="str">
        <f aca="false">IF($L57="청산",$I57*$F57,"")</f>
        <v/>
      </c>
      <c r="O57" s="40" t="str">
        <f aca="false">IF($B57="","",$G57+$J57+$K57)</f>
        <v/>
      </c>
      <c r="P57" s="41" t="str">
        <f aca="false">IF($L57="청산",$N57-$M57-$O57,"")</f>
        <v/>
      </c>
      <c r="Q57" s="42" t="str">
        <f aca="false">IF($L57="청산",IF($M57=0,"",$P57/$M57),"")</f>
        <v/>
      </c>
      <c r="R57" s="43" t="str">
        <f aca="true">IF($B57="","",IF($L57="청산",$H57-$D57,IF($D57="","",TODAY()-$D57)))</f>
        <v/>
      </c>
      <c r="S57" s="44" t="str">
        <f aca="false">IF($L57="청산",DATE(YEAR($H57),MONTH($H57),1),"")</f>
        <v/>
      </c>
      <c r="T57" s="48"/>
      <c r="U57" s="49"/>
      <c r="V57" s="46" t="str">
        <f aca="false">IF($B57="","",IF($L57&lt;&gt;"청산",N(V56),IF($P57&gt;0,N(V56)+1,0)))</f>
        <v/>
      </c>
      <c r="W57" s="46" t="str">
        <f aca="false">IF($B57="","",IF($L57&lt;&gt;"청산",N(W56),IF($P57&lt;0,N(W56)+1,0)))</f>
        <v/>
      </c>
    </row>
    <row r="58" customFormat="false" ht="15" hidden="false" customHeight="false" outlineLevel="0" collapsed="false">
      <c r="A58" s="32" t="str">
        <f aca="false">IF($B58="","",ROW()-5)</f>
        <v/>
      </c>
      <c r="B58" s="48"/>
      <c r="C58" s="49"/>
      <c r="D58" s="50"/>
      <c r="E58" s="51"/>
      <c r="F58" s="52"/>
      <c r="G58" s="53"/>
      <c r="H58" s="50"/>
      <c r="I58" s="51"/>
      <c r="J58" s="53"/>
      <c r="K58" s="53"/>
      <c r="L58" s="39" t="str">
        <f aca="false">IF($B58="","",IF($H58="","보유중","청산"))</f>
        <v/>
      </c>
      <c r="M58" s="40" t="str">
        <f aca="false">IF($B58="","",$E58*$F58)</f>
        <v/>
      </c>
      <c r="N58" s="40" t="str">
        <f aca="false">IF($L58="청산",$I58*$F58,"")</f>
        <v/>
      </c>
      <c r="O58" s="40" t="str">
        <f aca="false">IF($B58="","",$G58+$J58+$K58)</f>
        <v/>
      </c>
      <c r="P58" s="41" t="str">
        <f aca="false">IF($L58="청산",$N58-$M58-$O58,"")</f>
        <v/>
      </c>
      <c r="Q58" s="42" t="str">
        <f aca="false">IF($L58="청산",IF($M58=0,"",$P58/$M58),"")</f>
        <v/>
      </c>
      <c r="R58" s="43" t="str">
        <f aca="true">IF($B58="","",IF($L58="청산",$H58-$D58,IF($D58="","",TODAY()-$D58)))</f>
        <v/>
      </c>
      <c r="S58" s="44" t="str">
        <f aca="false">IF($L58="청산",DATE(YEAR($H58),MONTH($H58),1),"")</f>
        <v/>
      </c>
      <c r="T58" s="48"/>
      <c r="U58" s="49"/>
      <c r="V58" s="46" t="str">
        <f aca="false">IF($B58="","",IF($L58&lt;&gt;"청산",N(V57),IF($P58&gt;0,N(V57)+1,0)))</f>
        <v/>
      </c>
      <c r="W58" s="46" t="str">
        <f aca="false">IF($B58="","",IF($L58&lt;&gt;"청산",N(W57),IF($P58&lt;0,N(W57)+1,0)))</f>
        <v/>
      </c>
    </row>
    <row r="59" customFormat="false" ht="15" hidden="false" customHeight="false" outlineLevel="0" collapsed="false">
      <c r="A59" s="32" t="str">
        <f aca="false">IF($B59="","",ROW()-5)</f>
        <v/>
      </c>
      <c r="B59" s="48"/>
      <c r="C59" s="49"/>
      <c r="D59" s="50"/>
      <c r="E59" s="51"/>
      <c r="F59" s="52"/>
      <c r="G59" s="53"/>
      <c r="H59" s="50"/>
      <c r="I59" s="51"/>
      <c r="J59" s="53"/>
      <c r="K59" s="53"/>
      <c r="L59" s="39" t="str">
        <f aca="false">IF($B59="","",IF($H59="","보유중","청산"))</f>
        <v/>
      </c>
      <c r="M59" s="40" t="str">
        <f aca="false">IF($B59="","",$E59*$F59)</f>
        <v/>
      </c>
      <c r="N59" s="40" t="str">
        <f aca="false">IF($L59="청산",$I59*$F59,"")</f>
        <v/>
      </c>
      <c r="O59" s="40" t="str">
        <f aca="false">IF($B59="","",$G59+$J59+$K59)</f>
        <v/>
      </c>
      <c r="P59" s="41" t="str">
        <f aca="false">IF($L59="청산",$N59-$M59-$O59,"")</f>
        <v/>
      </c>
      <c r="Q59" s="42" t="str">
        <f aca="false">IF($L59="청산",IF($M59=0,"",$P59/$M59),"")</f>
        <v/>
      </c>
      <c r="R59" s="43" t="str">
        <f aca="true">IF($B59="","",IF($L59="청산",$H59-$D59,IF($D59="","",TODAY()-$D59)))</f>
        <v/>
      </c>
      <c r="S59" s="44" t="str">
        <f aca="false">IF($L59="청산",DATE(YEAR($H59),MONTH($H59),1),"")</f>
        <v/>
      </c>
      <c r="T59" s="48"/>
      <c r="U59" s="49"/>
      <c r="V59" s="46" t="str">
        <f aca="false">IF($B59="","",IF($L59&lt;&gt;"청산",N(V58),IF($P59&gt;0,N(V58)+1,0)))</f>
        <v/>
      </c>
      <c r="W59" s="46" t="str">
        <f aca="false">IF($B59="","",IF($L59&lt;&gt;"청산",N(W58),IF($P59&lt;0,N(W58)+1,0)))</f>
        <v/>
      </c>
    </row>
    <row r="60" customFormat="false" ht="15" hidden="false" customHeight="false" outlineLevel="0" collapsed="false">
      <c r="A60" s="32" t="str">
        <f aca="false">IF($B60="","",ROW()-5)</f>
        <v/>
      </c>
      <c r="B60" s="48"/>
      <c r="C60" s="49"/>
      <c r="D60" s="50"/>
      <c r="E60" s="51"/>
      <c r="F60" s="52"/>
      <c r="G60" s="53"/>
      <c r="H60" s="50"/>
      <c r="I60" s="51"/>
      <c r="J60" s="53"/>
      <c r="K60" s="53"/>
      <c r="L60" s="39" t="str">
        <f aca="false">IF($B60="","",IF($H60="","보유중","청산"))</f>
        <v/>
      </c>
      <c r="M60" s="40" t="str">
        <f aca="false">IF($B60="","",$E60*$F60)</f>
        <v/>
      </c>
      <c r="N60" s="40" t="str">
        <f aca="false">IF($L60="청산",$I60*$F60,"")</f>
        <v/>
      </c>
      <c r="O60" s="40" t="str">
        <f aca="false">IF($B60="","",$G60+$J60+$K60)</f>
        <v/>
      </c>
      <c r="P60" s="41" t="str">
        <f aca="false">IF($L60="청산",$N60-$M60-$O60,"")</f>
        <v/>
      </c>
      <c r="Q60" s="42" t="str">
        <f aca="false">IF($L60="청산",IF($M60=0,"",$P60/$M60),"")</f>
        <v/>
      </c>
      <c r="R60" s="43" t="str">
        <f aca="true">IF($B60="","",IF($L60="청산",$H60-$D60,IF($D60="","",TODAY()-$D60)))</f>
        <v/>
      </c>
      <c r="S60" s="44" t="str">
        <f aca="false">IF($L60="청산",DATE(YEAR($H60),MONTH($H60),1),"")</f>
        <v/>
      </c>
      <c r="T60" s="48"/>
      <c r="U60" s="49"/>
      <c r="V60" s="46" t="str">
        <f aca="false">IF($B60="","",IF($L60&lt;&gt;"청산",N(V59),IF($P60&gt;0,N(V59)+1,0)))</f>
        <v/>
      </c>
      <c r="W60" s="46" t="str">
        <f aca="false">IF($B60="","",IF($L60&lt;&gt;"청산",N(W59),IF($P60&lt;0,N(W59)+1,0)))</f>
        <v/>
      </c>
    </row>
    <row r="61" customFormat="false" ht="15" hidden="false" customHeight="false" outlineLevel="0" collapsed="false">
      <c r="A61" s="32" t="str">
        <f aca="false">IF($B61="","",ROW()-5)</f>
        <v/>
      </c>
      <c r="B61" s="48"/>
      <c r="C61" s="49"/>
      <c r="D61" s="50"/>
      <c r="E61" s="51"/>
      <c r="F61" s="52"/>
      <c r="G61" s="53"/>
      <c r="H61" s="50"/>
      <c r="I61" s="51"/>
      <c r="J61" s="53"/>
      <c r="K61" s="53"/>
      <c r="L61" s="39" t="str">
        <f aca="false">IF($B61="","",IF($H61="","보유중","청산"))</f>
        <v/>
      </c>
      <c r="M61" s="40" t="str">
        <f aca="false">IF($B61="","",$E61*$F61)</f>
        <v/>
      </c>
      <c r="N61" s="40" t="str">
        <f aca="false">IF($L61="청산",$I61*$F61,"")</f>
        <v/>
      </c>
      <c r="O61" s="40" t="str">
        <f aca="false">IF($B61="","",$G61+$J61+$K61)</f>
        <v/>
      </c>
      <c r="P61" s="41" t="str">
        <f aca="false">IF($L61="청산",$N61-$M61-$O61,"")</f>
        <v/>
      </c>
      <c r="Q61" s="42" t="str">
        <f aca="false">IF($L61="청산",IF($M61=0,"",$P61/$M61),"")</f>
        <v/>
      </c>
      <c r="R61" s="43" t="str">
        <f aca="true">IF($B61="","",IF($L61="청산",$H61-$D61,IF($D61="","",TODAY()-$D61)))</f>
        <v/>
      </c>
      <c r="S61" s="44" t="str">
        <f aca="false">IF($L61="청산",DATE(YEAR($H61),MONTH($H61),1),"")</f>
        <v/>
      </c>
      <c r="T61" s="48"/>
      <c r="U61" s="49"/>
      <c r="V61" s="46" t="str">
        <f aca="false">IF($B61="","",IF($L61&lt;&gt;"청산",N(V60),IF($P61&gt;0,N(V60)+1,0)))</f>
        <v/>
      </c>
      <c r="W61" s="46" t="str">
        <f aca="false">IF($B61="","",IF($L61&lt;&gt;"청산",N(W60),IF($P61&lt;0,N(W60)+1,0)))</f>
        <v/>
      </c>
    </row>
    <row r="62" customFormat="false" ht="15" hidden="false" customHeight="false" outlineLevel="0" collapsed="false">
      <c r="A62" s="32" t="str">
        <f aca="false">IF($B62="","",ROW()-5)</f>
        <v/>
      </c>
      <c r="B62" s="48"/>
      <c r="C62" s="49"/>
      <c r="D62" s="50"/>
      <c r="E62" s="51"/>
      <c r="F62" s="52"/>
      <c r="G62" s="53"/>
      <c r="H62" s="50"/>
      <c r="I62" s="51"/>
      <c r="J62" s="53"/>
      <c r="K62" s="53"/>
      <c r="L62" s="39" t="str">
        <f aca="false">IF($B62="","",IF($H62="","보유중","청산"))</f>
        <v/>
      </c>
      <c r="M62" s="40" t="str">
        <f aca="false">IF($B62="","",$E62*$F62)</f>
        <v/>
      </c>
      <c r="N62" s="40" t="str">
        <f aca="false">IF($L62="청산",$I62*$F62,"")</f>
        <v/>
      </c>
      <c r="O62" s="40" t="str">
        <f aca="false">IF($B62="","",$G62+$J62+$K62)</f>
        <v/>
      </c>
      <c r="P62" s="41" t="str">
        <f aca="false">IF($L62="청산",$N62-$M62-$O62,"")</f>
        <v/>
      </c>
      <c r="Q62" s="42" t="str">
        <f aca="false">IF($L62="청산",IF($M62=0,"",$P62/$M62),"")</f>
        <v/>
      </c>
      <c r="R62" s="43" t="str">
        <f aca="true">IF($B62="","",IF($L62="청산",$H62-$D62,IF($D62="","",TODAY()-$D62)))</f>
        <v/>
      </c>
      <c r="S62" s="44" t="str">
        <f aca="false">IF($L62="청산",DATE(YEAR($H62),MONTH($H62),1),"")</f>
        <v/>
      </c>
      <c r="T62" s="48"/>
      <c r="U62" s="49"/>
      <c r="V62" s="46" t="str">
        <f aca="false">IF($B62="","",IF($L62&lt;&gt;"청산",N(V61),IF($P62&gt;0,N(V61)+1,0)))</f>
        <v/>
      </c>
      <c r="W62" s="46" t="str">
        <f aca="false">IF($B62="","",IF($L62&lt;&gt;"청산",N(W61),IF($P62&lt;0,N(W61)+1,0)))</f>
        <v/>
      </c>
    </row>
    <row r="63" customFormat="false" ht="15" hidden="false" customHeight="false" outlineLevel="0" collapsed="false">
      <c r="A63" s="32" t="str">
        <f aca="false">IF($B63="","",ROW()-5)</f>
        <v/>
      </c>
      <c r="B63" s="48"/>
      <c r="C63" s="49"/>
      <c r="D63" s="50"/>
      <c r="E63" s="51"/>
      <c r="F63" s="52"/>
      <c r="G63" s="53"/>
      <c r="H63" s="50"/>
      <c r="I63" s="51"/>
      <c r="J63" s="53"/>
      <c r="K63" s="53"/>
      <c r="L63" s="39" t="str">
        <f aca="false">IF($B63="","",IF($H63="","보유중","청산"))</f>
        <v/>
      </c>
      <c r="M63" s="40" t="str">
        <f aca="false">IF($B63="","",$E63*$F63)</f>
        <v/>
      </c>
      <c r="N63" s="40" t="str">
        <f aca="false">IF($L63="청산",$I63*$F63,"")</f>
        <v/>
      </c>
      <c r="O63" s="40" t="str">
        <f aca="false">IF($B63="","",$G63+$J63+$K63)</f>
        <v/>
      </c>
      <c r="P63" s="41" t="str">
        <f aca="false">IF($L63="청산",$N63-$M63-$O63,"")</f>
        <v/>
      </c>
      <c r="Q63" s="42" t="str">
        <f aca="false">IF($L63="청산",IF($M63=0,"",$P63/$M63),"")</f>
        <v/>
      </c>
      <c r="R63" s="43" t="str">
        <f aca="true">IF($B63="","",IF($L63="청산",$H63-$D63,IF($D63="","",TODAY()-$D63)))</f>
        <v/>
      </c>
      <c r="S63" s="44" t="str">
        <f aca="false">IF($L63="청산",DATE(YEAR($H63),MONTH($H63),1),"")</f>
        <v/>
      </c>
      <c r="T63" s="48"/>
      <c r="U63" s="49"/>
      <c r="V63" s="46" t="str">
        <f aca="false">IF($B63="","",IF($L63&lt;&gt;"청산",N(V62),IF($P63&gt;0,N(V62)+1,0)))</f>
        <v/>
      </c>
      <c r="W63" s="46" t="str">
        <f aca="false">IF($B63="","",IF($L63&lt;&gt;"청산",N(W62),IF($P63&lt;0,N(W62)+1,0)))</f>
        <v/>
      </c>
    </row>
    <row r="64" customFormat="false" ht="15" hidden="false" customHeight="false" outlineLevel="0" collapsed="false">
      <c r="A64" s="32" t="str">
        <f aca="false">IF($B64="","",ROW()-5)</f>
        <v/>
      </c>
      <c r="B64" s="48"/>
      <c r="C64" s="49"/>
      <c r="D64" s="50"/>
      <c r="E64" s="51"/>
      <c r="F64" s="52"/>
      <c r="G64" s="53"/>
      <c r="H64" s="50"/>
      <c r="I64" s="51"/>
      <c r="J64" s="53"/>
      <c r="K64" s="53"/>
      <c r="L64" s="39" t="str">
        <f aca="false">IF($B64="","",IF($H64="","보유중","청산"))</f>
        <v/>
      </c>
      <c r="M64" s="40" t="str">
        <f aca="false">IF($B64="","",$E64*$F64)</f>
        <v/>
      </c>
      <c r="N64" s="40" t="str">
        <f aca="false">IF($L64="청산",$I64*$F64,"")</f>
        <v/>
      </c>
      <c r="O64" s="40" t="str">
        <f aca="false">IF($B64="","",$G64+$J64+$K64)</f>
        <v/>
      </c>
      <c r="P64" s="41" t="str">
        <f aca="false">IF($L64="청산",$N64-$M64-$O64,"")</f>
        <v/>
      </c>
      <c r="Q64" s="42" t="str">
        <f aca="false">IF($L64="청산",IF($M64=0,"",$P64/$M64),"")</f>
        <v/>
      </c>
      <c r="R64" s="43" t="str">
        <f aca="true">IF($B64="","",IF($L64="청산",$H64-$D64,IF($D64="","",TODAY()-$D64)))</f>
        <v/>
      </c>
      <c r="S64" s="44" t="str">
        <f aca="false">IF($L64="청산",DATE(YEAR($H64),MONTH($H64),1),"")</f>
        <v/>
      </c>
      <c r="T64" s="48"/>
      <c r="U64" s="49"/>
      <c r="V64" s="46" t="str">
        <f aca="false">IF($B64="","",IF($L64&lt;&gt;"청산",N(V63),IF($P64&gt;0,N(V63)+1,0)))</f>
        <v/>
      </c>
      <c r="W64" s="46" t="str">
        <f aca="false">IF($B64="","",IF($L64&lt;&gt;"청산",N(W63),IF($P64&lt;0,N(W63)+1,0)))</f>
        <v/>
      </c>
    </row>
    <row r="65" customFormat="false" ht="15" hidden="false" customHeight="false" outlineLevel="0" collapsed="false">
      <c r="A65" s="32" t="str">
        <f aca="false">IF($B65="","",ROW()-5)</f>
        <v/>
      </c>
      <c r="B65" s="48"/>
      <c r="C65" s="49"/>
      <c r="D65" s="50"/>
      <c r="E65" s="51"/>
      <c r="F65" s="52"/>
      <c r="G65" s="53"/>
      <c r="H65" s="50"/>
      <c r="I65" s="51"/>
      <c r="J65" s="53"/>
      <c r="K65" s="53"/>
      <c r="L65" s="39" t="str">
        <f aca="false">IF($B65="","",IF($H65="","보유중","청산"))</f>
        <v/>
      </c>
      <c r="M65" s="40" t="str">
        <f aca="false">IF($B65="","",$E65*$F65)</f>
        <v/>
      </c>
      <c r="N65" s="40" t="str">
        <f aca="false">IF($L65="청산",$I65*$F65,"")</f>
        <v/>
      </c>
      <c r="O65" s="40" t="str">
        <f aca="false">IF($B65="","",$G65+$J65+$K65)</f>
        <v/>
      </c>
      <c r="P65" s="41" t="str">
        <f aca="false">IF($L65="청산",$N65-$M65-$O65,"")</f>
        <v/>
      </c>
      <c r="Q65" s="42" t="str">
        <f aca="false">IF($L65="청산",IF($M65=0,"",$P65/$M65),"")</f>
        <v/>
      </c>
      <c r="R65" s="43" t="str">
        <f aca="true">IF($B65="","",IF($L65="청산",$H65-$D65,IF($D65="","",TODAY()-$D65)))</f>
        <v/>
      </c>
      <c r="S65" s="44" t="str">
        <f aca="false">IF($L65="청산",DATE(YEAR($H65),MONTH($H65),1),"")</f>
        <v/>
      </c>
      <c r="T65" s="48"/>
      <c r="U65" s="49"/>
      <c r="V65" s="46" t="str">
        <f aca="false">IF($B65="","",IF($L65&lt;&gt;"청산",N(V64),IF($P65&gt;0,N(V64)+1,0)))</f>
        <v/>
      </c>
      <c r="W65" s="46" t="str">
        <f aca="false">IF($B65="","",IF($L65&lt;&gt;"청산",N(W64),IF($P65&lt;0,N(W64)+1,0)))</f>
        <v/>
      </c>
    </row>
    <row r="66" customFormat="false" ht="15" hidden="false" customHeight="false" outlineLevel="0" collapsed="false">
      <c r="A66" s="32" t="str">
        <f aca="false">IF($B66="","",ROW()-5)</f>
        <v/>
      </c>
      <c r="B66" s="48"/>
      <c r="C66" s="49"/>
      <c r="D66" s="50"/>
      <c r="E66" s="51"/>
      <c r="F66" s="52"/>
      <c r="G66" s="53"/>
      <c r="H66" s="50"/>
      <c r="I66" s="51"/>
      <c r="J66" s="53"/>
      <c r="K66" s="53"/>
      <c r="L66" s="39" t="str">
        <f aca="false">IF($B66="","",IF($H66="","보유중","청산"))</f>
        <v/>
      </c>
      <c r="M66" s="40" t="str">
        <f aca="false">IF($B66="","",$E66*$F66)</f>
        <v/>
      </c>
      <c r="N66" s="40" t="str">
        <f aca="false">IF($L66="청산",$I66*$F66,"")</f>
        <v/>
      </c>
      <c r="O66" s="40" t="str">
        <f aca="false">IF($B66="","",$G66+$J66+$K66)</f>
        <v/>
      </c>
      <c r="P66" s="41" t="str">
        <f aca="false">IF($L66="청산",$N66-$M66-$O66,"")</f>
        <v/>
      </c>
      <c r="Q66" s="42" t="str">
        <f aca="false">IF($L66="청산",IF($M66=0,"",$P66/$M66),"")</f>
        <v/>
      </c>
      <c r="R66" s="43" t="str">
        <f aca="true">IF($B66="","",IF($L66="청산",$H66-$D66,IF($D66="","",TODAY()-$D66)))</f>
        <v/>
      </c>
      <c r="S66" s="44" t="str">
        <f aca="false">IF($L66="청산",DATE(YEAR($H66),MONTH($H66),1),"")</f>
        <v/>
      </c>
      <c r="T66" s="48"/>
      <c r="U66" s="49"/>
      <c r="V66" s="46" t="str">
        <f aca="false">IF($B66="","",IF($L66&lt;&gt;"청산",N(V65),IF($P66&gt;0,N(V65)+1,0)))</f>
        <v/>
      </c>
      <c r="W66" s="46" t="str">
        <f aca="false">IF($B66="","",IF($L66&lt;&gt;"청산",N(W65),IF($P66&lt;0,N(W65)+1,0)))</f>
        <v/>
      </c>
    </row>
    <row r="67" customFormat="false" ht="15" hidden="false" customHeight="false" outlineLevel="0" collapsed="false">
      <c r="A67" s="32" t="str">
        <f aca="false">IF($B67="","",ROW()-5)</f>
        <v/>
      </c>
      <c r="B67" s="48"/>
      <c r="C67" s="49"/>
      <c r="D67" s="50"/>
      <c r="E67" s="51"/>
      <c r="F67" s="52"/>
      <c r="G67" s="53"/>
      <c r="H67" s="50"/>
      <c r="I67" s="51"/>
      <c r="J67" s="53"/>
      <c r="K67" s="53"/>
      <c r="L67" s="39" t="str">
        <f aca="false">IF($B67="","",IF($H67="","보유중","청산"))</f>
        <v/>
      </c>
      <c r="M67" s="40" t="str">
        <f aca="false">IF($B67="","",$E67*$F67)</f>
        <v/>
      </c>
      <c r="N67" s="40" t="str">
        <f aca="false">IF($L67="청산",$I67*$F67,"")</f>
        <v/>
      </c>
      <c r="O67" s="40" t="str">
        <f aca="false">IF($B67="","",$G67+$J67+$K67)</f>
        <v/>
      </c>
      <c r="P67" s="41" t="str">
        <f aca="false">IF($L67="청산",$N67-$M67-$O67,"")</f>
        <v/>
      </c>
      <c r="Q67" s="42" t="str">
        <f aca="false">IF($L67="청산",IF($M67=0,"",$P67/$M67),"")</f>
        <v/>
      </c>
      <c r="R67" s="43" t="str">
        <f aca="true">IF($B67="","",IF($L67="청산",$H67-$D67,IF($D67="","",TODAY()-$D67)))</f>
        <v/>
      </c>
      <c r="S67" s="44" t="str">
        <f aca="false">IF($L67="청산",DATE(YEAR($H67),MONTH($H67),1),"")</f>
        <v/>
      </c>
      <c r="T67" s="48"/>
      <c r="U67" s="49"/>
      <c r="V67" s="46" t="str">
        <f aca="false">IF($B67="","",IF($L67&lt;&gt;"청산",N(V66),IF($P67&gt;0,N(V66)+1,0)))</f>
        <v/>
      </c>
      <c r="W67" s="46" t="str">
        <f aca="false">IF($B67="","",IF($L67&lt;&gt;"청산",N(W66),IF($P67&lt;0,N(W66)+1,0)))</f>
        <v/>
      </c>
    </row>
    <row r="68" customFormat="false" ht="15" hidden="false" customHeight="false" outlineLevel="0" collapsed="false">
      <c r="A68" s="32" t="str">
        <f aca="false">IF($B68="","",ROW()-5)</f>
        <v/>
      </c>
      <c r="B68" s="48"/>
      <c r="C68" s="49"/>
      <c r="D68" s="50"/>
      <c r="E68" s="51"/>
      <c r="F68" s="52"/>
      <c r="G68" s="53"/>
      <c r="H68" s="50"/>
      <c r="I68" s="51"/>
      <c r="J68" s="53"/>
      <c r="K68" s="53"/>
      <c r="L68" s="39" t="str">
        <f aca="false">IF($B68="","",IF($H68="","보유중","청산"))</f>
        <v/>
      </c>
      <c r="M68" s="40" t="str">
        <f aca="false">IF($B68="","",$E68*$F68)</f>
        <v/>
      </c>
      <c r="N68" s="40" t="str">
        <f aca="false">IF($L68="청산",$I68*$F68,"")</f>
        <v/>
      </c>
      <c r="O68" s="40" t="str">
        <f aca="false">IF($B68="","",$G68+$J68+$K68)</f>
        <v/>
      </c>
      <c r="P68" s="41" t="str">
        <f aca="false">IF($L68="청산",$N68-$M68-$O68,"")</f>
        <v/>
      </c>
      <c r="Q68" s="42" t="str">
        <f aca="false">IF($L68="청산",IF($M68=0,"",$P68/$M68),"")</f>
        <v/>
      </c>
      <c r="R68" s="43" t="str">
        <f aca="true">IF($B68="","",IF($L68="청산",$H68-$D68,IF($D68="","",TODAY()-$D68)))</f>
        <v/>
      </c>
      <c r="S68" s="44" t="str">
        <f aca="false">IF($L68="청산",DATE(YEAR($H68),MONTH($H68),1),"")</f>
        <v/>
      </c>
      <c r="T68" s="48"/>
      <c r="U68" s="49"/>
      <c r="V68" s="46" t="str">
        <f aca="false">IF($B68="","",IF($L68&lt;&gt;"청산",N(V67),IF($P68&gt;0,N(V67)+1,0)))</f>
        <v/>
      </c>
      <c r="W68" s="46" t="str">
        <f aca="false">IF($B68="","",IF($L68&lt;&gt;"청산",N(W67),IF($P68&lt;0,N(W67)+1,0)))</f>
        <v/>
      </c>
    </row>
    <row r="69" customFormat="false" ht="15" hidden="false" customHeight="false" outlineLevel="0" collapsed="false">
      <c r="A69" s="32" t="str">
        <f aca="false">IF($B69="","",ROW()-5)</f>
        <v/>
      </c>
      <c r="B69" s="48"/>
      <c r="C69" s="49"/>
      <c r="D69" s="50"/>
      <c r="E69" s="51"/>
      <c r="F69" s="52"/>
      <c r="G69" s="53"/>
      <c r="H69" s="50"/>
      <c r="I69" s="51"/>
      <c r="J69" s="53"/>
      <c r="K69" s="53"/>
      <c r="L69" s="39" t="str">
        <f aca="false">IF($B69="","",IF($H69="","보유중","청산"))</f>
        <v/>
      </c>
      <c r="M69" s="40" t="str">
        <f aca="false">IF($B69="","",$E69*$F69)</f>
        <v/>
      </c>
      <c r="N69" s="40" t="str">
        <f aca="false">IF($L69="청산",$I69*$F69,"")</f>
        <v/>
      </c>
      <c r="O69" s="40" t="str">
        <f aca="false">IF($B69="","",$G69+$J69+$K69)</f>
        <v/>
      </c>
      <c r="P69" s="41" t="str">
        <f aca="false">IF($L69="청산",$N69-$M69-$O69,"")</f>
        <v/>
      </c>
      <c r="Q69" s="42" t="str">
        <f aca="false">IF($L69="청산",IF($M69=0,"",$P69/$M69),"")</f>
        <v/>
      </c>
      <c r="R69" s="43" t="str">
        <f aca="true">IF($B69="","",IF($L69="청산",$H69-$D69,IF($D69="","",TODAY()-$D69)))</f>
        <v/>
      </c>
      <c r="S69" s="44" t="str">
        <f aca="false">IF($L69="청산",DATE(YEAR($H69),MONTH($H69),1),"")</f>
        <v/>
      </c>
      <c r="T69" s="48"/>
      <c r="U69" s="49"/>
      <c r="V69" s="46" t="str">
        <f aca="false">IF($B69="","",IF($L69&lt;&gt;"청산",N(V68),IF($P69&gt;0,N(V68)+1,0)))</f>
        <v/>
      </c>
      <c r="W69" s="46" t="str">
        <f aca="false">IF($B69="","",IF($L69&lt;&gt;"청산",N(W68),IF($P69&lt;0,N(W68)+1,0)))</f>
        <v/>
      </c>
    </row>
    <row r="70" customFormat="false" ht="15" hidden="false" customHeight="false" outlineLevel="0" collapsed="false">
      <c r="A70" s="32" t="str">
        <f aca="false">IF($B70="","",ROW()-5)</f>
        <v/>
      </c>
      <c r="B70" s="48"/>
      <c r="C70" s="49"/>
      <c r="D70" s="50"/>
      <c r="E70" s="51"/>
      <c r="F70" s="52"/>
      <c r="G70" s="53"/>
      <c r="H70" s="50"/>
      <c r="I70" s="51"/>
      <c r="J70" s="53"/>
      <c r="K70" s="53"/>
      <c r="L70" s="39" t="str">
        <f aca="false">IF($B70="","",IF($H70="","보유중","청산"))</f>
        <v/>
      </c>
      <c r="M70" s="40" t="str">
        <f aca="false">IF($B70="","",$E70*$F70)</f>
        <v/>
      </c>
      <c r="N70" s="40" t="str">
        <f aca="false">IF($L70="청산",$I70*$F70,"")</f>
        <v/>
      </c>
      <c r="O70" s="40" t="str">
        <f aca="false">IF($B70="","",$G70+$J70+$K70)</f>
        <v/>
      </c>
      <c r="P70" s="41" t="str">
        <f aca="false">IF($L70="청산",$N70-$M70-$O70,"")</f>
        <v/>
      </c>
      <c r="Q70" s="42" t="str">
        <f aca="false">IF($L70="청산",IF($M70=0,"",$P70/$M70),"")</f>
        <v/>
      </c>
      <c r="R70" s="43" t="str">
        <f aca="true">IF($B70="","",IF($L70="청산",$H70-$D70,IF($D70="","",TODAY()-$D70)))</f>
        <v/>
      </c>
      <c r="S70" s="44" t="str">
        <f aca="false">IF($L70="청산",DATE(YEAR($H70),MONTH($H70),1),"")</f>
        <v/>
      </c>
      <c r="T70" s="48"/>
      <c r="U70" s="49"/>
      <c r="V70" s="46" t="str">
        <f aca="false">IF($B70="","",IF($L70&lt;&gt;"청산",N(V69),IF($P70&gt;0,N(V69)+1,0)))</f>
        <v/>
      </c>
      <c r="W70" s="46" t="str">
        <f aca="false">IF($B70="","",IF($L70&lt;&gt;"청산",N(W69),IF($P70&lt;0,N(W69)+1,0)))</f>
        <v/>
      </c>
    </row>
    <row r="71" customFormat="false" ht="15" hidden="false" customHeight="false" outlineLevel="0" collapsed="false">
      <c r="A71" s="32" t="str">
        <f aca="false">IF($B71="","",ROW()-5)</f>
        <v/>
      </c>
      <c r="B71" s="48"/>
      <c r="C71" s="49"/>
      <c r="D71" s="50"/>
      <c r="E71" s="51"/>
      <c r="F71" s="52"/>
      <c r="G71" s="53"/>
      <c r="H71" s="50"/>
      <c r="I71" s="51"/>
      <c r="J71" s="53"/>
      <c r="K71" s="53"/>
      <c r="L71" s="39" t="str">
        <f aca="false">IF($B71="","",IF($H71="","보유중","청산"))</f>
        <v/>
      </c>
      <c r="M71" s="40" t="str">
        <f aca="false">IF($B71="","",$E71*$F71)</f>
        <v/>
      </c>
      <c r="N71" s="40" t="str">
        <f aca="false">IF($L71="청산",$I71*$F71,"")</f>
        <v/>
      </c>
      <c r="O71" s="40" t="str">
        <f aca="false">IF($B71="","",$G71+$J71+$K71)</f>
        <v/>
      </c>
      <c r="P71" s="41" t="str">
        <f aca="false">IF($L71="청산",$N71-$M71-$O71,"")</f>
        <v/>
      </c>
      <c r="Q71" s="42" t="str">
        <f aca="false">IF($L71="청산",IF($M71=0,"",$P71/$M71),"")</f>
        <v/>
      </c>
      <c r="R71" s="43" t="str">
        <f aca="true">IF($B71="","",IF($L71="청산",$H71-$D71,IF($D71="","",TODAY()-$D71)))</f>
        <v/>
      </c>
      <c r="S71" s="44" t="str">
        <f aca="false">IF($L71="청산",DATE(YEAR($H71),MONTH($H71),1),"")</f>
        <v/>
      </c>
      <c r="T71" s="48"/>
      <c r="U71" s="49"/>
      <c r="V71" s="46" t="str">
        <f aca="false">IF($B71="","",IF($L71&lt;&gt;"청산",N(V70),IF($P71&gt;0,N(V70)+1,0)))</f>
        <v/>
      </c>
      <c r="W71" s="46" t="str">
        <f aca="false">IF($B71="","",IF($L71&lt;&gt;"청산",N(W70),IF($P71&lt;0,N(W70)+1,0)))</f>
        <v/>
      </c>
    </row>
    <row r="72" customFormat="false" ht="15" hidden="false" customHeight="false" outlineLevel="0" collapsed="false">
      <c r="A72" s="32" t="str">
        <f aca="false">IF($B72="","",ROW()-5)</f>
        <v/>
      </c>
      <c r="B72" s="48"/>
      <c r="C72" s="49"/>
      <c r="D72" s="50"/>
      <c r="E72" s="51"/>
      <c r="F72" s="52"/>
      <c r="G72" s="53"/>
      <c r="H72" s="50"/>
      <c r="I72" s="51"/>
      <c r="J72" s="53"/>
      <c r="K72" s="53"/>
      <c r="L72" s="39" t="str">
        <f aca="false">IF($B72="","",IF($H72="","보유중","청산"))</f>
        <v/>
      </c>
      <c r="M72" s="40" t="str">
        <f aca="false">IF($B72="","",$E72*$F72)</f>
        <v/>
      </c>
      <c r="N72" s="40" t="str">
        <f aca="false">IF($L72="청산",$I72*$F72,"")</f>
        <v/>
      </c>
      <c r="O72" s="40" t="str">
        <f aca="false">IF($B72="","",$G72+$J72+$K72)</f>
        <v/>
      </c>
      <c r="P72" s="41" t="str">
        <f aca="false">IF($L72="청산",$N72-$M72-$O72,"")</f>
        <v/>
      </c>
      <c r="Q72" s="42" t="str">
        <f aca="false">IF($L72="청산",IF($M72=0,"",$P72/$M72),"")</f>
        <v/>
      </c>
      <c r="R72" s="43" t="str">
        <f aca="true">IF($B72="","",IF($L72="청산",$H72-$D72,IF($D72="","",TODAY()-$D72)))</f>
        <v/>
      </c>
      <c r="S72" s="44" t="str">
        <f aca="false">IF($L72="청산",DATE(YEAR($H72),MONTH($H72),1),"")</f>
        <v/>
      </c>
      <c r="T72" s="48"/>
      <c r="U72" s="49"/>
      <c r="V72" s="46" t="str">
        <f aca="false">IF($B72="","",IF($L72&lt;&gt;"청산",N(V71),IF($P72&gt;0,N(V71)+1,0)))</f>
        <v/>
      </c>
      <c r="W72" s="46" t="str">
        <f aca="false">IF($B72="","",IF($L72&lt;&gt;"청산",N(W71),IF($P72&lt;0,N(W71)+1,0)))</f>
        <v/>
      </c>
    </row>
    <row r="73" customFormat="false" ht="15" hidden="false" customHeight="false" outlineLevel="0" collapsed="false">
      <c r="A73" s="32" t="str">
        <f aca="false">IF($B73="","",ROW()-5)</f>
        <v/>
      </c>
      <c r="B73" s="48"/>
      <c r="C73" s="49"/>
      <c r="D73" s="50"/>
      <c r="E73" s="51"/>
      <c r="F73" s="52"/>
      <c r="G73" s="53"/>
      <c r="H73" s="50"/>
      <c r="I73" s="51"/>
      <c r="J73" s="53"/>
      <c r="K73" s="53"/>
      <c r="L73" s="39" t="str">
        <f aca="false">IF($B73="","",IF($H73="","보유중","청산"))</f>
        <v/>
      </c>
      <c r="M73" s="40" t="str">
        <f aca="false">IF($B73="","",$E73*$F73)</f>
        <v/>
      </c>
      <c r="N73" s="40" t="str">
        <f aca="false">IF($L73="청산",$I73*$F73,"")</f>
        <v/>
      </c>
      <c r="O73" s="40" t="str">
        <f aca="false">IF($B73="","",$G73+$J73+$K73)</f>
        <v/>
      </c>
      <c r="P73" s="41" t="str">
        <f aca="false">IF($L73="청산",$N73-$M73-$O73,"")</f>
        <v/>
      </c>
      <c r="Q73" s="42" t="str">
        <f aca="false">IF($L73="청산",IF($M73=0,"",$P73/$M73),"")</f>
        <v/>
      </c>
      <c r="R73" s="43" t="str">
        <f aca="true">IF($B73="","",IF($L73="청산",$H73-$D73,IF($D73="","",TODAY()-$D73)))</f>
        <v/>
      </c>
      <c r="S73" s="44" t="str">
        <f aca="false">IF($L73="청산",DATE(YEAR($H73),MONTH($H73),1),"")</f>
        <v/>
      </c>
      <c r="T73" s="48"/>
      <c r="U73" s="49"/>
      <c r="V73" s="46" t="str">
        <f aca="false">IF($B73="","",IF($L73&lt;&gt;"청산",N(V72),IF($P73&gt;0,N(V72)+1,0)))</f>
        <v/>
      </c>
      <c r="W73" s="46" t="str">
        <f aca="false">IF($B73="","",IF($L73&lt;&gt;"청산",N(W72),IF($P73&lt;0,N(W72)+1,0)))</f>
        <v/>
      </c>
    </row>
    <row r="74" customFormat="false" ht="15" hidden="false" customHeight="false" outlineLevel="0" collapsed="false">
      <c r="A74" s="32" t="str">
        <f aca="false">IF($B74="","",ROW()-5)</f>
        <v/>
      </c>
      <c r="B74" s="48"/>
      <c r="C74" s="49"/>
      <c r="D74" s="50"/>
      <c r="E74" s="51"/>
      <c r="F74" s="52"/>
      <c r="G74" s="53"/>
      <c r="H74" s="50"/>
      <c r="I74" s="51"/>
      <c r="J74" s="53"/>
      <c r="K74" s="53"/>
      <c r="L74" s="39" t="str">
        <f aca="false">IF($B74="","",IF($H74="","보유중","청산"))</f>
        <v/>
      </c>
      <c r="M74" s="40" t="str">
        <f aca="false">IF($B74="","",$E74*$F74)</f>
        <v/>
      </c>
      <c r="N74" s="40" t="str">
        <f aca="false">IF($L74="청산",$I74*$F74,"")</f>
        <v/>
      </c>
      <c r="O74" s="40" t="str">
        <f aca="false">IF($B74="","",$G74+$J74+$K74)</f>
        <v/>
      </c>
      <c r="P74" s="41" t="str">
        <f aca="false">IF($L74="청산",$N74-$M74-$O74,"")</f>
        <v/>
      </c>
      <c r="Q74" s="42" t="str">
        <f aca="false">IF($L74="청산",IF($M74=0,"",$P74/$M74),"")</f>
        <v/>
      </c>
      <c r="R74" s="43" t="str">
        <f aca="true">IF($B74="","",IF($L74="청산",$H74-$D74,IF($D74="","",TODAY()-$D74)))</f>
        <v/>
      </c>
      <c r="S74" s="44" t="str">
        <f aca="false">IF($L74="청산",DATE(YEAR($H74),MONTH($H74),1),"")</f>
        <v/>
      </c>
      <c r="T74" s="48"/>
      <c r="U74" s="49"/>
      <c r="V74" s="46" t="str">
        <f aca="false">IF($B74="","",IF($L74&lt;&gt;"청산",N(V73),IF($P74&gt;0,N(V73)+1,0)))</f>
        <v/>
      </c>
      <c r="W74" s="46" t="str">
        <f aca="false">IF($B74="","",IF($L74&lt;&gt;"청산",N(W73),IF($P74&lt;0,N(W73)+1,0)))</f>
        <v/>
      </c>
    </row>
    <row r="75" customFormat="false" ht="15" hidden="false" customHeight="false" outlineLevel="0" collapsed="false">
      <c r="A75" s="32" t="str">
        <f aca="false">IF($B75="","",ROW()-5)</f>
        <v/>
      </c>
      <c r="B75" s="48"/>
      <c r="C75" s="49"/>
      <c r="D75" s="50"/>
      <c r="E75" s="51"/>
      <c r="F75" s="52"/>
      <c r="G75" s="53"/>
      <c r="H75" s="50"/>
      <c r="I75" s="51"/>
      <c r="J75" s="53"/>
      <c r="K75" s="53"/>
      <c r="L75" s="39" t="str">
        <f aca="false">IF($B75="","",IF($H75="","보유중","청산"))</f>
        <v/>
      </c>
      <c r="M75" s="40" t="str">
        <f aca="false">IF($B75="","",$E75*$F75)</f>
        <v/>
      </c>
      <c r="N75" s="40" t="str">
        <f aca="false">IF($L75="청산",$I75*$F75,"")</f>
        <v/>
      </c>
      <c r="O75" s="40" t="str">
        <f aca="false">IF($B75="","",$G75+$J75+$K75)</f>
        <v/>
      </c>
      <c r="P75" s="41" t="str">
        <f aca="false">IF($L75="청산",$N75-$M75-$O75,"")</f>
        <v/>
      </c>
      <c r="Q75" s="42" t="str">
        <f aca="false">IF($L75="청산",IF($M75=0,"",$P75/$M75),"")</f>
        <v/>
      </c>
      <c r="R75" s="43" t="str">
        <f aca="true">IF($B75="","",IF($L75="청산",$H75-$D75,IF($D75="","",TODAY()-$D75)))</f>
        <v/>
      </c>
      <c r="S75" s="44" t="str">
        <f aca="false">IF($L75="청산",DATE(YEAR($H75),MONTH($H75),1),"")</f>
        <v/>
      </c>
      <c r="T75" s="48"/>
      <c r="U75" s="49"/>
      <c r="V75" s="46" t="str">
        <f aca="false">IF($B75="","",IF($L75&lt;&gt;"청산",N(V74),IF($P75&gt;0,N(V74)+1,0)))</f>
        <v/>
      </c>
      <c r="W75" s="46" t="str">
        <f aca="false">IF($B75="","",IF($L75&lt;&gt;"청산",N(W74),IF($P75&lt;0,N(W74)+1,0)))</f>
        <v/>
      </c>
    </row>
    <row r="76" customFormat="false" ht="15" hidden="false" customHeight="false" outlineLevel="0" collapsed="false">
      <c r="A76" s="32" t="str">
        <f aca="false">IF($B76="","",ROW()-5)</f>
        <v/>
      </c>
      <c r="B76" s="48"/>
      <c r="C76" s="49"/>
      <c r="D76" s="50"/>
      <c r="E76" s="51"/>
      <c r="F76" s="52"/>
      <c r="G76" s="53"/>
      <c r="H76" s="50"/>
      <c r="I76" s="51"/>
      <c r="J76" s="53"/>
      <c r="K76" s="53"/>
      <c r="L76" s="39" t="str">
        <f aca="false">IF($B76="","",IF($H76="","보유중","청산"))</f>
        <v/>
      </c>
      <c r="M76" s="40" t="str">
        <f aca="false">IF($B76="","",$E76*$F76)</f>
        <v/>
      </c>
      <c r="N76" s="40" t="str">
        <f aca="false">IF($L76="청산",$I76*$F76,"")</f>
        <v/>
      </c>
      <c r="O76" s="40" t="str">
        <f aca="false">IF($B76="","",$G76+$J76+$K76)</f>
        <v/>
      </c>
      <c r="P76" s="41" t="str">
        <f aca="false">IF($L76="청산",$N76-$M76-$O76,"")</f>
        <v/>
      </c>
      <c r="Q76" s="42" t="str">
        <f aca="false">IF($L76="청산",IF($M76=0,"",$P76/$M76),"")</f>
        <v/>
      </c>
      <c r="R76" s="43" t="str">
        <f aca="true">IF($B76="","",IF($L76="청산",$H76-$D76,IF($D76="","",TODAY()-$D76)))</f>
        <v/>
      </c>
      <c r="S76" s="44" t="str">
        <f aca="false">IF($L76="청산",DATE(YEAR($H76),MONTH($H76),1),"")</f>
        <v/>
      </c>
      <c r="T76" s="48"/>
      <c r="U76" s="49"/>
      <c r="V76" s="46" t="str">
        <f aca="false">IF($B76="","",IF($L76&lt;&gt;"청산",N(V75),IF($P76&gt;0,N(V75)+1,0)))</f>
        <v/>
      </c>
      <c r="W76" s="46" t="str">
        <f aca="false">IF($B76="","",IF($L76&lt;&gt;"청산",N(W75),IF($P76&lt;0,N(W75)+1,0)))</f>
        <v/>
      </c>
    </row>
    <row r="77" customFormat="false" ht="15" hidden="false" customHeight="false" outlineLevel="0" collapsed="false">
      <c r="A77" s="32" t="str">
        <f aca="false">IF($B77="","",ROW()-5)</f>
        <v/>
      </c>
      <c r="B77" s="48"/>
      <c r="C77" s="49"/>
      <c r="D77" s="50"/>
      <c r="E77" s="51"/>
      <c r="F77" s="52"/>
      <c r="G77" s="53"/>
      <c r="H77" s="50"/>
      <c r="I77" s="51"/>
      <c r="J77" s="53"/>
      <c r="K77" s="53"/>
      <c r="L77" s="39" t="str">
        <f aca="false">IF($B77="","",IF($H77="","보유중","청산"))</f>
        <v/>
      </c>
      <c r="M77" s="40" t="str">
        <f aca="false">IF($B77="","",$E77*$F77)</f>
        <v/>
      </c>
      <c r="N77" s="40" t="str">
        <f aca="false">IF($L77="청산",$I77*$F77,"")</f>
        <v/>
      </c>
      <c r="O77" s="40" t="str">
        <f aca="false">IF($B77="","",$G77+$J77+$K77)</f>
        <v/>
      </c>
      <c r="P77" s="41" t="str">
        <f aca="false">IF($L77="청산",$N77-$M77-$O77,"")</f>
        <v/>
      </c>
      <c r="Q77" s="42" t="str">
        <f aca="false">IF($L77="청산",IF($M77=0,"",$P77/$M77),"")</f>
        <v/>
      </c>
      <c r="R77" s="43" t="str">
        <f aca="true">IF($B77="","",IF($L77="청산",$H77-$D77,IF($D77="","",TODAY()-$D77)))</f>
        <v/>
      </c>
      <c r="S77" s="44" t="str">
        <f aca="false">IF($L77="청산",DATE(YEAR($H77),MONTH($H77),1),"")</f>
        <v/>
      </c>
      <c r="T77" s="48"/>
      <c r="U77" s="49"/>
      <c r="V77" s="46" t="str">
        <f aca="false">IF($B77="","",IF($L77&lt;&gt;"청산",N(V76),IF($P77&gt;0,N(V76)+1,0)))</f>
        <v/>
      </c>
      <c r="W77" s="46" t="str">
        <f aca="false">IF($B77="","",IF($L77&lt;&gt;"청산",N(W76),IF($P77&lt;0,N(W76)+1,0)))</f>
        <v/>
      </c>
    </row>
    <row r="78" customFormat="false" ht="15" hidden="false" customHeight="false" outlineLevel="0" collapsed="false">
      <c r="A78" s="32" t="str">
        <f aca="false">IF($B78="","",ROW()-5)</f>
        <v/>
      </c>
      <c r="B78" s="48"/>
      <c r="C78" s="49"/>
      <c r="D78" s="50"/>
      <c r="E78" s="51"/>
      <c r="F78" s="52"/>
      <c r="G78" s="53"/>
      <c r="H78" s="50"/>
      <c r="I78" s="51"/>
      <c r="J78" s="53"/>
      <c r="K78" s="53"/>
      <c r="L78" s="39" t="str">
        <f aca="false">IF($B78="","",IF($H78="","보유중","청산"))</f>
        <v/>
      </c>
      <c r="M78" s="40" t="str">
        <f aca="false">IF($B78="","",$E78*$F78)</f>
        <v/>
      </c>
      <c r="N78" s="40" t="str">
        <f aca="false">IF($L78="청산",$I78*$F78,"")</f>
        <v/>
      </c>
      <c r="O78" s="40" t="str">
        <f aca="false">IF($B78="","",$G78+$J78+$K78)</f>
        <v/>
      </c>
      <c r="P78" s="41" t="str">
        <f aca="false">IF($L78="청산",$N78-$M78-$O78,"")</f>
        <v/>
      </c>
      <c r="Q78" s="42" t="str">
        <f aca="false">IF($L78="청산",IF($M78=0,"",$P78/$M78),"")</f>
        <v/>
      </c>
      <c r="R78" s="43" t="str">
        <f aca="true">IF($B78="","",IF($L78="청산",$H78-$D78,IF($D78="","",TODAY()-$D78)))</f>
        <v/>
      </c>
      <c r="S78" s="44" t="str">
        <f aca="false">IF($L78="청산",DATE(YEAR($H78),MONTH($H78),1),"")</f>
        <v/>
      </c>
      <c r="T78" s="48"/>
      <c r="U78" s="49"/>
      <c r="V78" s="46" t="str">
        <f aca="false">IF($B78="","",IF($L78&lt;&gt;"청산",N(V77),IF($P78&gt;0,N(V77)+1,0)))</f>
        <v/>
      </c>
      <c r="W78" s="46" t="str">
        <f aca="false">IF($B78="","",IF($L78&lt;&gt;"청산",N(W77),IF($P78&lt;0,N(W77)+1,0)))</f>
        <v/>
      </c>
    </row>
    <row r="79" customFormat="false" ht="15" hidden="false" customHeight="false" outlineLevel="0" collapsed="false">
      <c r="A79" s="32" t="str">
        <f aca="false">IF($B79="","",ROW()-5)</f>
        <v/>
      </c>
      <c r="B79" s="48"/>
      <c r="C79" s="49"/>
      <c r="D79" s="50"/>
      <c r="E79" s="51"/>
      <c r="F79" s="52"/>
      <c r="G79" s="53"/>
      <c r="H79" s="50"/>
      <c r="I79" s="51"/>
      <c r="J79" s="53"/>
      <c r="K79" s="53"/>
      <c r="L79" s="39" t="str">
        <f aca="false">IF($B79="","",IF($H79="","보유중","청산"))</f>
        <v/>
      </c>
      <c r="M79" s="40" t="str">
        <f aca="false">IF($B79="","",$E79*$F79)</f>
        <v/>
      </c>
      <c r="N79" s="40" t="str">
        <f aca="false">IF($L79="청산",$I79*$F79,"")</f>
        <v/>
      </c>
      <c r="O79" s="40" t="str">
        <f aca="false">IF($B79="","",$G79+$J79+$K79)</f>
        <v/>
      </c>
      <c r="P79" s="41" t="str">
        <f aca="false">IF($L79="청산",$N79-$M79-$O79,"")</f>
        <v/>
      </c>
      <c r="Q79" s="42" t="str">
        <f aca="false">IF($L79="청산",IF($M79=0,"",$P79/$M79),"")</f>
        <v/>
      </c>
      <c r="R79" s="43" t="str">
        <f aca="true">IF($B79="","",IF($L79="청산",$H79-$D79,IF($D79="","",TODAY()-$D79)))</f>
        <v/>
      </c>
      <c r="S79" s="44" t="str">
        <f aca="false">IF($L79="청산",DATE(YEAR($H79),MONTH($H79),1),"")</f>
        <v/>
      </c>
      <c r="T79" s="48"/>
      <c r="U79" s="49"/>
      <c r="V79" s="46" t="str">
        <f aca="false">IF($B79="","",IF($L79&lt;&gt;"청산",N(V78),IF($P79&gt;0,N(V78)+1,0)))</f>
        <v/>
      </c>
      <c r="W79" s="46" t="str">
        <f aca="false">IF($B79="","",IF($L79&lt;&gt;"청산",N(W78),IF($P79&lt;0,N(W78)+1,0)))</f>
        <v/>
      </c>
    </row>
    <row r="80" customFormat="false" ht="15" hidden="false" customHeight="false" outlineLevel="0" collapsed="false">
      <c r="A80" s="32" t="str">
        <f aca="false">IF($B80="","",ROW()-5)</f>
        <v/>
      </c>
      <c r="B80" s="48"/>
      <c r="C80" s="49"/>
      <c r="D80" s="50"/>
      <c r="E80" s="51"/>
      <c r="F80" s="52"/>
      <c r="G80" s="53"/>
      <c r="H80" s="50"/>
      <c r="I80" s="51"/>
      <c r="J80" s="53"/>
      <c r="K80" s="53"/>
      <c r="L80" s="39" t="str">
        <f aca="false">IF($B80="","",IF($H80="","보유중","청산"))</f>
        <v/>
      </c>
      <c r="M80" s="40" t="str">
        <f aca="false">IF($B80="","",$E80*$F80)</f>
        <v/>
      </c>
      <c r="N80" s="40" t="str">
        <f aca="false">IF($L80="청산",$I80*$F80,"")</f>
        <v/>
      </c>
      <c r="O80" s="40" t="str">
        <f aca="false">IF($B80="","",$G80+$J80+$K80)</f>
        <v/>
      </c>
      <c r="P80" s="41" t="str">
        <f aca="false">IF($L80="청산",$N80-$M80-$O80,"")</f>
        <v/>
      </c>
      <c r="Q80" s="42" t="str">
        <f aca="false">IF($L80="청산",IF($M80=0,"",$P80/$M80),"")</f>
        <v/>
      </c>
      <c r="R80" s="43" t="str">
        <f aca="true">IF($B80="","",IF($L80="청산",$H80-$D80,IF($D80="","",TODAY()-$D80)))</f>
        <v/>
      </c>
      <c r="S80" s="44" t="str">
        <f aca="false">IF($L80="청산",DATE(YEAR($H80),MONTH($H80),1),"")</f>
        <v/>
      </c>
      <c r="T80" s="48"/>
      <c r="U80" s="49"/>
      <c r="V80" s="46" t="str">
        <f aca="false">IF($B80="","",IF($L80&lt;&gt;"청산",N(V79),IF($P80&gt;0,N(V79)+1,0)))</f>
        <v/>
      </c>
      <c r="W80" s="46" t="str">
        <f aca="false">IF($B80="","",IF($L80&lt;&gt;"청산",N(W79),IF($P80&lt;0,N(W79)+1,0)))</f>
        <v/>
      </c>
    </row>
    <row r="81" customFormat="false" ht="15" hidden="false" customHeight="false" outlineLevel="0" collapsed="false">
      <c r="A81" s="32" t="str">
        <f aca="false">IF($B81="","",ROW()-5)</f>
        <v/>
      </c>
      <c r="B81" s="48"/>
      <c r="C81" s="49"/>
      <c r="D81" s="50"/>
      <c r="E81" s="51"/>
      <c r="F81" s="52"/>
      <c r="G81" s="53"/>
      <c r="H81" s="50"/>
      <c r="I81" s="51"/>
      <c r="J81" s="53"/>
      <c r="K81" s="53"/>
      <c r="L81" s="39" t="str">
        <f aca="false">IF($B81="","",IF($H81="","보유중","청산"))</f>
        <v/>
      </c>
      <c r="M81" s="40" t="str">
        <f aca="false">IF($B81="","",$E81*$F81)</f>
        <v/>
      </c>
      <c r="N81" s="40" t="str">
        <f aca="false">IF($L81="청산",$I81*$F81,"")</f>
        <v/>
      </c>
      <c r="O81" s="40" t="str">
        <f aca="false">IF($B81="","",$G81+$J81+$K81)</f>
        <v/>
      </c>
      <c r="P81" s="41" t="str">
        <f aca="false">IF($L81="청산",$N81-$M81-$O81,"")</f>
        <v/>
      </c>
      <c r="Q81" s="42" t="str">
        <f aca="false">IF($L81="청산",IF($M81=0,"",$P81/$M81),"")</f>
        <v/>
      </c>
      <c r="R81" s="43" t="str">
        <f aca="true">IF($B81="","",IF($L81="청산",$H81-$D81,IF($D81="","",TODAY()-$D81)))</f>
        <v/>
      </c>
      <c r="S81" s="44" t="str">
        <f aca="false">IF($L81="청산",DATE(YEAR($H81),MONTH($H81),1),"")</f>
        <v/>
      </c>
      <c r="T81" s="48"/>
      <c r="U81" s="49"/>
      <c r="V81" s="46" t="str">
        <f aca="false">IF($B81="","",IF($L81&lt;&gt;"청산",N(V80),IF($P81&gt;0,N(V80)+1,0)))</f>
        <v/>
      </c>
      <c r="W81" s="46" t="str">
        <f aca="false">IF($B81="","",IF($L81&lt;&gt;"청산",N(W80),IF($P81&lt;0,N(W80)+1,0)))</f>
        <v/>
      </c>
    </row>
    <row r="82" customFormat="false" ht="15" hidden="false" customHeight="false" outlineLevel="0" collapsed="false">
      <c r="A82" s="32" t="str">
        <f aca="false">IF($B82="","",ROW()-5)</f>
        <v/>
      </c>
      <c r="B82" s="48"/>
      <c r="C82" s="49"/>
      <c r="D82" s="50"/>
      <c r="E82" s="51"/>
      <c r="F82" s="52"/>
      <c r="G82" s="53"/>
      <c r="H82" s="50"/>
      <c r="I82" s="51"/>
      <c r="J82" s="53"/>
      <c r="K82" s="53"/>
      <c r="L82" s="39" t="str">
        <f aca="false">IF($B82="","",IF($H82="","보유중","청산"))</f>
        <v/>
      </c>
      <c r="M82" s="40" t="str">
        <f aca="false">IF($B82="","",$E82*$F82)</f>
        <v/>
      </c>
      <c r="N82" s="40" t="str">
        <f aca="false">IF($L82="청산",$I82*$F82,"")</f>
        <v/>
      </c>
      <c r="O82" s="40" t="str">
        <f aca="false">IF($B82="","",$G82+$J82+$K82)</f>
        <v/>
      </c>
      <c r="P82" s="41" t="str">
        <f aca="false">IF($L82="청산",$N82-$M82-$O82,"")</f>
        <v/>
      </c>
      <c r="Q82" s="42" t="str">
        <f aca="false">IF($L82="청산",IF($M82=0,"",$P82/$M82),"")</f>
        <v/>
      </c>
      <c r="R82" s="43" t="str">
        <f aca="true">IF($B82="","",IF($L82="청산",$H82-$D82,IF($D82="","",TODAY()-$D82)))</f>
        <v/>
      </c>
      <c r="S82" s="44" t="str">
        <f aca="false">IF($L82="청산",DATE(YEAR($H82),MONTH($H82),1),"")</f>
        <v/>
      </c>
      <c r="T82" s="48"/>
      <c r="U82" s="49"/>
      <c r="V82" s="46" t="str">
        <f aca="false">IF($B82="","",IF($L82&lt;&gt;"청산",N(V81),IF($P82&gt;0,N(V81)+1,0)))</f>
        <v/>
      </c>
      <c r="W82" s="46" t="str">
        <f aca="false">IF($B82="","",IF($L82&lt;&gt;"청산",N(W81),IF($P82&lt;0,N(W81)+1,0)))</f>
        <v/>
      </c>
    </row>
    <row r="83" customFormat="false" ht="15" hidden="false" customHeight="false" outlineLevel="0" collapsed="false">
      <c r="A83" s="32" t="str">
        <f aca="false">IF($B83="","",ROW()-5)</f>
        <v/>
      </c>
      <c r="B83" s="48"/>
      <c r="C83" s="49"/>
      <c r="D83" s="50"/>
      <c r="E83" s="51"/>
      <c r="F83" s="52"/>
      <c r="G83" s="53"/>
      <c r="H83" s="50"/>
      <c r="I83" s="51"/>
      <c r="J83" s="53"/>
      <c r="K83" s="53"/>
      <c r="L83" s="39" t="str">
        <f aca="false">IF($B83="","",IF($H83="","보유중","청산"))</f>
        <v/>
      </c>
      <c r="M83" s="40" t="str">
        <f aca="false">IF($B83="","",$E83*$F83)</f>
        <v/>
      </c>
      <c r="N83" s="40" t="str">
        <f aca="false">IF($L83="청산",$I83*$F83,"")</f>
        <v/>
      </c>
      <c r="O83" s="40" t="str">
        <f aca="false">IF($B83="","",$G83+$J83+$K83)</f>
        <v/>
      </c>
      <c r="P83" s="41" t="str">
        <f aca="false">IF($L83="청산",$N83-$M83-$O83,"")</f>
        <v/>
      </c>
      <c r="Q83" s="42" t="str">
        <f aca="false">IF($L83="청산",IF($M83=0,"",$P83/$M83),"")</f>
        <v/>
      </c>
      <c r="R83" s="43" t="str">
        <f aca="true">IF($B83="","",IF($L83="청산",$H83-$D83,IF($D83="","",TODAY()-$D83)))</f>
        <v/>
      </c>
      <c r="S83" s="44" t="str">
        <f aca="false">IF($L83="청산",DATE(YEAR($H83),MONTH($H83),1),"")</f>
        <v/>
      </c>
      <c r="T83" s="48"/>
      <c r="U83" s="49"/>
      <c r="V83" s="46" t="str">
        <f aca="false">IF($B83="","",IF($L83&lt;&gt;"청산",N(V82),IF($P83&gt;0,N(V82)+1,0)))</f>
        <v/>
      </c>
      <c r="W83" s="46" t="str">
        <f aca="false">IF($B83="","",IF($L83&lt;&gt;"청산",N(W82),IF($P83&lt;0,N(W82)+1,0)))</f>
        <v/>
      </c>
    </row>
    <row r="84" customFormat="false" ht="15" hidden="false" customHeight="false" outlineLevel="0" collapsed="false">
      <c r="A84" s="32" t="str">
        <f aca="false">IF($B84="","",ROW()-5)</f>
        <v/>
      </c>
      <c r="B84" s="48"/>
      <c r="C84" s="49"/>
      <c r="D84" s="50"/>
      <c r="E84" s="51"/>
      <c r="F84" s="52"/>
      <c r="G84" s="53"/>
      <c r="H84" s="50"/>
      <c r="I84" s="51"/>
      <c r="J84" s="53"/>
      <c r="K84" s="53"/>
      <c r="L84" s="39" t="str">
        <f aca="false">IF($B84="","",IF($H84="","보유중","청산"))</f>
        <v/>
      </c>
      <c r="M84" s="40" t="str">
        <f aca="false">IF($B84="","",$E84*$F84)</f>
        <v/>
      </c>
      <c r="N84" s="40" t="str">
        <f aca="false">IF($L84="청산",$I84*$F84,"")</f>
        <v/>
      </c>
      <c r="O84" s="40" t="str">
        <f aca="false">IF($B84="","",$G84+$J84+$K84)</f>
        <v/>
      </c>
      <c r="P84" s="41" t="str">
        <f aca="false">IF($L84="청산",$N84-$M84-$O84,"")</f>
        <v/>
      </c>
      <c r="Q84" s="42" t="str">
        <f aca="false">IF($L84="청산",IF($M84=0,"",$P84/$M84),"")</f>
        <v/>
      </c>
      <c r="R84" s="43" t="str">
        <f aca="true">IF($B84="","",IF($L84="청산",$H84-$D84,IF($D84="","",TODAY()-$D84)))</f>
        <v/>
      </c>
      <c r="S84" s="44" t="str">
        <f aca="false">IF($L84="청산",DATE(YEAR($H84),MONTH($H84),1),"")</f>
        <v/>
      </c>
      <c r="T84" s="48"/>
      <c r="U84" s="49"/>
      <c r="V84" s="46" t="str">
        <f aca="false">IF($B84="","",IF($L84&lt;&gt;"청산",N(V83),IF($P84&gt;0,N(V83)+1,0)))</f>
        <v/>
      </c>
      <c r="W84" s="46" t="str">
        <f aca="false">IF($B84="","",IF($L84&lt;&gt;"청산",N(W83),IF($P84&lt;0,N(W83)+1,0)))</f>
        <v/>
      </c>
    </row>
    <row r="85" customFormat="false" ht="15" hidden="false" customHeight="false" outlineLevel="0" collapsed="false">
      <c r="A85" s="32" t="str">
        <f aca="false">IF($B85="","",ROW()-5)</f>
        <v/>
      </c>
      <c r="B85" s="48"/>
      <c r="C85" s="49"/>
      <c r="D85" s="50"/>
      <c r="E85" s="51"/>
      <c r="F85" s="52"/>
      <c r="G85" s="53"/>
      <c r="H85" s="50"/>
      <c r="I85" s="51"/>
      <c r="J85" s="53"/>
      <c r="K85" s="53"/>
      <c r="L85" s="39" t="str">
        <f aca="false">IF($B85="","",IF($H85="","보유중","청산"))</f>
        <v/>
      </c>
      <c r="M85" s="40" t="str">
        <f aca="false">IF($B85="","",$E85*$F85)</f>
        <v/>
      </c>
      <c r="N85" s="40" t="str">
        <f aca="false">IF($L85="청산",$I85*$F85,"")</f>
        <v/>
      </c>
      <c r="O85" s="40" t="str">
        <f aca="false">IF($B85="","",$G85+$J85+$K85)</f>
        <v/>
      </c>
      <c r="P85" s="41" t="str">
        <f aca="false">IF($L85="청산",$N85-$M85-$O85,"")</f>
        <v/>
      </c>
      <c r="Q85" s="42" t="str">
        <f aca="false">IF($L85="청산",IF($M85=0,"",$P85/$M85),"")</f>
        <v/>
      </c>
      <c r="R85" s="43" t="str">
        <f aca="true">IF($B85="","",IF($L85="청산",$H85-$D85,IF($D85="","",TODAY()-$D85)))</f>
        <v/>
      </c>
      <c r="S85" s="44" t="str">
        <f aca="false">IF($L85="청산",DATE(YEAR($H85),MONTH($H85),1),"")</f>
        <v/>
      </c>
      <c r="T85" s="48"/>
      <c r="U85" s="49"/>
      <c r="V85" s="46" t="str">
        <f aca="false">IF($B85="","",IF($L85&lt;&gt;"청산",N(V84),IF($P85&gt;0,N(V84)+1,0)))</f>
        <v/>
      </c>
      <c r="W85" s="46" t="str">
        <f aca="false">IF($B85="","",IF($L85&lt;&gt;"청산",N(W84),IF($P85&lt;0,N(W84)+1,0)))</f>
        <v/>
      </c>
    </row>
    <row r="86" customFormat="false" ht="15" hidden="false" customHeight="false" outlineLevel="0" collapsed="false">
      <c r="A86" s="32" t="str">
        <f aca="false">IF($B86="","",ROW()-5)</f>
        <v/>
      </c>
      <c r="B86" s="48"/>
      <c r="C86" s="49"/>
      <c r="D86" s="50"/>
      <c r="E86" s="51"/>
      <c r="F86" s="52"/>
      <c r="G86" s="53"/>
      <c r="H86" s="50"/>
      <c r="I86" s="51"/>
      <c r="J86" s="53"/>
      <c r="K86" s="53"/>
      <c r="L86" s="39" t="str">
        <f aca="false">IF($B86="","",IF($H86="","보유중","청산"))</f>
        <v/>
      </c>
      <c r="M86" s="40" t="str">
        <f aca="false">IF($B86="","",$E86*$F86)</f>
        <v/>
      </c>
      <c r="N86" s="40" t="str">
        <f aca="false">IF($L86="청산",$I86*$F86,"")</f>
        <v/>
      </c>
      <c r="O86" s="40" t="str">
        <f aca="false">IF($B86="","",$G86+$J86+$K86)</f>
        <v/>
      </c>
      <c r="P86" s="41" t="str">
        <f aca="false">IF($L86="청산",$N86-$M86-$O86,"")</f>
        <v/>
      </c>
      <c r="Q86" s="42" t="str">
        <f aca="false">IF($L86="청산",IF($M86=0,"",$P86/$M86),"")</f>
        <v/>
      </c>
      <c r="R86" s="43" t="str">
        <f aca="true">IF($B86="","",IF($L86="청산",$H86-$D86,IF($D86="","",TODAY()-$D86)))</f>
        <v/>
      </c>
      <c r="S86" s="44" t="str">
        <f aca="false">IF($L86="청산",DATE(YEAR($H86),MONTH($H86),1),"")</f>
        <v/>
      </c>
      <c r="T86" s="48"/>
      <c r="U86" s="49"/>
      <c r="V86" s="46" t="str">
        <f aca="false">IF($B86="","",IF($L86&lt;&gt;"청산",N(V85),IF($P86&gt;0,N(V85)+1,0)))</f>
        <v/>
      </c>
      <c r="W86" s="46" t="str">
        <f aca="false">IF($B86="","",IF($L86&lt;&gt;"청산",N(W85),IF($P86&lt;0,N(W85)+1,0)))</f>
        <v/>
      </c>
    </row>
    <row r="87" customFormat="false" ht="15" hidden="false" customHeight="false" outlineLevel="0" collapsed="false">
      <c r="A87" s="32" t="str">
        <f aca="false">IF($B87="","",ROW()-5)</f>
        <v/>
      </c>
      <c r="B87" s="48"/>
      <c r="C87" s="49"/>
      <c r="D87" s="50"/>
      <c r="E87" s="51"/>
      <c r="F87" s="52"/>
      <c r="G87" s="53"/>
      <c r="H87" s="50"/>
      <c r="I87" s="51"/>
      <c r="J87" s="53"/>
      <c r="K87" s="53"/>
      <c r="L87" s="39" t="str">
        <f aca="false">IF($B87="","",IF($H87="","보유중","청산"))</f>
        <v/>
      </c>
      <c r="M87" s="40" t="str">
        <f aca="false">IF($B87="","",$E87*$F87)</f>
        <v/>
      </c>
      <c r="N87" s="40" t="str">
        <f aca="false">IF($L87="청산",$I87*$F87,"")</f>
        <v/>
      </c>
      <c r="O87" s="40" t="str">
        <f aca="false">IF($B87="","",$G87+$J87+$K87)</f>
        <v/>
      </c>
      <c r="P87" s="41" t="str">
        <f aca="false">IF($L87="청산",$N87-$M87-$O87,"")</f>
        <v/>
      </c>
      <c r="Q87" s="42" t="str">
        <f aca="false">IF($L87="청산",IF($M87=0,"",$P87/$M87),"")</f>
        <v/>
      </c>
      <c r="R87" s="43" t="str">
        <f aca="true">IF($B87="","",IF($L87="청산",$H87-$D87,IF($D87="","",TODAY()-$D87)))</f>
        <v/>
      </c>
      <c r="S87" s="44" t="str">
        <f aca="false">IF($L87="청산",DATE(YEAR($H87),MONTH($H87),1),"")</f>
        <v/>
      </c>
      <c r="T87" s="48"/>
      <c r="U87" s="49"/>
      <c r="V87" s="46" t="str">
        <f aca="false">IF($B87="","",IF($L87&lt;&gt;"청산",N(V86),IF($P87&gt;0,N(V86)+1,0)))</f>
        <v/>
      </c>
      <c r="W87" s="46" t="str">
        <f aca="false">IF($B87="","",IF($L87&lt;&gt;"청산",N(W86),IF($P87&lt;0,N(W86)+1,0)))</f>
        <v/>
      </c>
    </row>
    <row r="88" customFormat="false" ht="15" hidden="false" customHeight="false" outlineLevel="0" collapsed="false">
      <c r="A88" s="32" t="str">
        <f aca="false">IF($B88="","",ROW()-5)</f>
        <v/>
      </c>
      <c r="B88" s="48"/>
      <c r="C88" s="49"/>
      <c r="D88" s="50"/>
      <c r="E88" s="51"/>
      <c r="F88" s="52"/>
      <c r="G88" s="53"/>
      <c r="H88" s="50"/>
      <c r="I88" s="51"/>
      <c r="J88" s="53"/>
      <c r="K88" s="53"/>
      <c r="L88" s="39" t="str">
        <f aca="false">IF($B88="","",IF($H88="","보유중","청산"))</f>
        <v/>
      </c>
      <c r="M88" s="40" t="str">
        <f aca="false">IF($B88="","",$E88*$F88)</f>
        <v/>
      </c>
      <c r="N88" s="40" t="str">
        <f aca="false">IF($L88="청산",$I88*$F88,"")</f>
        <v/>
      </c>
      <c r="O88" s="40" t="str">
        <f aca="false">IF($B88="","",$G88+$J88+$K88)</f>
        <v/>
      </c>
      <c r="P88" s="41" t="str">
        <f aca="false">IF($L88="청산",$N88-$M88-$O88,"")</f>
        <v/>
      </c>
      <c r="Q88" s="42" t="str">
        <f aca="false">IF($L88="청산",IF($M88=0,"",$P88/$M88),"")</f>
        <v/>
      </c>
      <c r="R88" s="43" t="str">
        <f aca="true">IF($B88="","",IF($L88="청산",$H88-$D88,IF($D88="","",TODAY()-$D88)))</f>
        <v/>
      </c>
      <c r="S88" s="44" t="str">
        <f aca="false">IF($L88="청산",DATE(YEAR($H88),MONTH($H88),1),"")</f>
        <v/>
      </c>
      <c r="T88" s="48"/>
      <c r="U88" s="49"/>
      <c r="V88" s="46" t="str">
        <f aca="false">IF($B88="","",IF($L88&lt;&gt;"청산",N(V87),IF($P88&gt;0,N(V87)+1,0)))</f>
        <v/>
      </c>
      <c r="W88" s="46" t="str">
        <f aca="false">IF($B88="","",IF($L88&lt;&gt;"청산",N(W87),IF($P88&lt;0,N(W87)+1,0)))</f>
        <v/>
      </c>
    </row>
    <row r="89" customFormat="false" ht="15" hidden="false" customHeight="false" outlineLevel="0" collapsed="false">
      <c r="A89" s="32" t="str">
        <f aca="false">IF($B89="","",ROW()-5)</f>
        <v/>
      </c>
      <c r="B89" s="48"/>
      <c r="C89" s="49"/>
      <c r="D89" s="50"/>
      <c r="E89" s="51"/>
      <c r="F89" s="52"/>
      <c r="G89" s="53"/>
      <c r="H89" s="50"/>
      <c r="I89" s="51"/>
      <c r="J89" s="53"/>
      <c r="K89" s="53"/>
      <c r="L89" s="39" t="str">
        <f aca="false">IF($B89="","",IF($H89="","보유중","청산"))</f>
        <v/>
      </c>
      <c r="M89" s="40" t="str">
        <f aca="false">IF($B89="","",$E89*$F89)</f>
        <v/>
      </c>
      <c r="N89" s="40" t="str">
        <f aca="false">IF($L89="청산",$I89*$F89,"")</f>
        <v/>
      </c>
      <c r="O89" s="40" t="str">
        <f aca="false">IF($B89="","",$G89+$J89+$K89)</f>
        <v/>
      </c>
      <c r="P89" s="41" t="str">
        <f aca="false">IF($L89="청산",$N89-$M89-$O89,"")</f>
        <v/>
      </c>
      <c r="Q89" s="42" t="str">
        <f aca="false">IF($L89="청산",IF($M89=0,"",$P89/$M89),"")</f>
        <v/>
      </c>
      <c r="R89" s="43" t="str">
        <f aca="true">IF($B89="","",IF($L89="청산",$H89-$D89,IF($D89="","",TODAY()-$D89)))</f>
        <v/>
      </c>
      <c r="S89" s="44" t="str">
        <f aca="false">IF($L89="청산",DATE(YEAR($H89),MONTH($H89),1),"")</f>
        <v/>
      </c>
      <c r="T89" s="48"/>
      <c r="U89" s="49"/>
      <c r="V89" s="46" t="str">
        <f aca="false">IF($B89="","",IF($L89&lt;&gt;"청산",N(V88),IF($P89&gt;0,N(V88)+1,0)))</f>
        <v/>
      </c>
      <c r="W89" s="46" t="str">
        <f aca="false">IF($B89="","",IF($L89&lt;&gt;"청산",N(W88),IF($P89&lt;0,N(W88)+1,0)))</f>
        <v/>
      </c>
    </row>
    <row r="90" customFormat="false" ht="15" hidden="false" customHeight="false" outlineLevel="0" collapsed="false">
      <c r="A90" s="32" t="str">
        <f aca="false">IF($B90="","",ROW()-5)</f>
        <v/>
      </c>
      <c r="B90" s="48"/>
      <c r="C90" s="49"/>
      <c r="D90" s="50"/>
      <c r="E90" s="51"/>
      <c r="F90" s="52"/>
      <c r="G90" s="53"/>
      <c r="H90" s="50"/>
      <c r="I90" s="51"/>
      <c r="J90" s="53"/>
      <c r="K90" s="53"/>
      <c r="L90" s="39" t="str">
        <f aca="false">IF($B90="","",IF($H90="","보유중","청산"))</f>
        <v/>
      </c>
      <c r="M90" s="40" t="str">
        <f aca="false">IF($B90="","",$E90*$F90)</f>
        <v/>
      </c>
      <c r="N90" s="40" t="str">
        <f aca="false">IF($L90="청산",$I90*$F90,"")</f>
        <v/>
      </c>
      <c r="O90" s="40" t="str">
        <f aca="false">IF($B90="","",$G90+$J90+$K90)</f>
        <v/>
      </c>
      <c r="P90" s="41" t="str">
        <f aca="false">IF($L90="청산",$N90-$M90-$O90,"")</f>
        <v/>
      </c>
      <c r="Q90" s="42" t="str">
        <f aca="false">IF($L90="청산",IF($M90=0,"",$P90/$M90),"")</f>
        <v/>
      </c>
      <c r="R90" s="43" t="str">
        <f aca="true">IF($B90="","",IF($L90="청산",$H90-$D90,IF($D90="","",TODAY()-$D90)))</f>
        <v/>
      </c>
      <c r="S90" s="44" t="str">
        <f aca="false">IF($L90="청산",DATE(YEAR($H90),MONTH($H90),1),"")</f>
        <v/>
      </c>
      <c r="T90" s="48"/>
      <c r="U90" s="49"/>
      <c r="V90" s="46" t="str">
        <f aca="false">IF($B90="","",IF($L90&lt;&gt;"청산",N(V89),IF($P90&gt;0,N(V89)+1,0)))</f>
        <v/>
      </c>
      <c r="W90" s="46" t="str">
        <f aca="false">IF($B90="","",IF($L90&lt;&gt;"청산",N(W89),IF($P90&lt;0,N(W89)+1,0)))</f>
        <v/>
      </c>
    </row>
    <row r="91" customFormat="false" ht="15" hidden="false" customHeight="false" outlineLevel="0" collapsed="false">
      <c r="A91" s="32" t="str">
        <f aca="false">IF($B91="","",ROW()-5)</f>
        <v/>
      </c>
      <c r="B91" s="48"/>
      <c r="C91" s="49"/>
      <c r="D91" s="50"/>
      <c r="E91" s="51"/>
      <c r="F91" s="52"/>
      <c r="G91" s="53"/>
      <c r="H91" s="50"/>
      <c r="I91" s="51"/>
      <c r="J91" s="53"/>
      <c r="K91" s="53"/>
      <c r="L91" s="39" t="str">
        <f aca="false">IF($B91="","",IF($H91="","보유중","청산"))</f>
        <v/>
      </c>
      <c r="M91" s="40" t="str">
        <f aca="false">IF($B91="","",$E91*$F91)</f>
        <v/>
      </c>
      <c r="N91" s="40" t="str">
        <f aca="false">IF($L91="청산",$I91*$F91,"")</f>
        <v/>
      </c>
      <c r="O91" s="40" t="str">
        <f aca="false">IF($B91="","",$G91+$J91+$K91)</f>
        <v/>
      </c>
      <c r="P91" s="41" t="str">
        <f aca="false">IF($L91="청산",$N91-$M91-$O91,"")</f>
        <v/>
      </c>
      <c r="Q91" s="42" t="str">
        <f aca="false">IF($L91="청산",IF($M91=0,"",$P91/$M91),"")</f>
        <v/>
      </c>
      <c r="R91" s="43" t="str">
        <f aca="true">IF($B91="","",IF($L91="청산",$H91-$D91,IF($D91="","",TODAY()-$D91)))</f>
        <v/>
      </c>
      <c r="S91" s="44" t="str">
        <f aca="false">IF($L91="청산",DATE(YEAR($H91),MONTH($H91),1),"")</f>
        <v/>
      </c>
      <c r="T91" s="48"/>
      <c r="U91" s="49"/>
      <c r="V91" s="46" t="str">
        <f aca="false">IF($B91="","",IF($L91&lt;&gt;"청산",N(V90),IF($P91&gt;0,N(V90)+1,0)))</f>
        <v/>
      </c>
      <c r="W91" s="46" t="str">
        <f aca="false">IF($B91="","",IF($L91&lt;&gt;"청산",N(W90),IF($P91&lt;0,N(W90)+1,0)))</f>
        <v/>
      </c>
    </row>
    <row r="92" customFormat="false" ht="15" hidden="false" customHeight="false" outlineLevel="0" collapsed="false">
      <c r="A92" s="32" t="str">
        <f aca="false">IF($B92="","",ROW()-5)</f>
        <v/>
      </c>
      <c r="B92" s="48"/>
      <c r="C92" s="49"/>
      <c r="D92" s="50"/>
      <c r="E92" s="51"/>
      <c r="F92" s="52"/>
      <c r="G92" s="53"/>
      <c r="H92" s="50"/>
      <c r="I92" s="51"/>
      <c r="J92" s="53"/>
      <c r="K92" s="53"/>
      <c r="L92" s="39" t="str">
        <f aca="false">IF($B92="","",IF($H92="","보유중","청산"))</f>
        <v/>
      </c>
      <c r="M92" s="40" t="str">
        <f aca="false">IF($B92="","",$E92*$F92)</f>
        <v/>
      </c>
      <c r="N92" s="40" t="str">
        <f aca="false">IF($L92="청산",$I92*$F92,"")</f>
        <v/>
      </c>
      <c r="O92" s="40" t="str">
        <f aca="false">IF($B92="","",$G92+$J92+$K92)</f>
        <v/>
      </c>
      <c r="P92" s="41" t="str">
        <f aca="false">IF($L92="청산",$N92-$M92-$O92,"")</f>
        <v/>
      </c>
      <c r="Q92" s="42" t="str">
        <f aca="false">IF($L92="청산",IF($M92=0,"",$P92/$M92),"")</f>
        <v/>
      </c>
      <c r="R92" s="43" t="str">
        <f aca="true">IF($B92="","",IF($L92="청산",$H92-$D92,IF($D92="","",TODAY()-$D92)))</f>
        <v/>
      </c>
      <c r="S92" s="44" t="str">
        <f aca="false">IF($L92="청산",DATE(YEAR($H92),MONTH($H92),1),"")</f>
        <v/>
      </c>
      <c r="T92" s="48"/>
      <c r="U92" s="49"/>
      <c r="V92" s="46" t="str">
        <f aca="false">IF($B92="","",IF($L92&lt;&gt;"청산",N(V91),IF($P92&gt;0,N(V91)+1,0)))</f>
        <v/>
      </c>
      <c r="W92" s="46" t="str">
        <f aca="false">IF($B92="","",IF($L92&lt;&gt;"청산",N(W91),IF($P92&lt;0,N(W91)+1,0)))</f>
        <v/>
      </c>
    </row>
    <row r="93" customFormat="false" ht="15" hidden="false" customHeight="false" outlineLevel="0" collapsed="false">
      <c r="A93" s="32" t="str">
        <f aca="false">IF($B93="","",ROW()-5)</f>
        <v/>
      </c>
      <c r="B93" s="48"/>
      <c r="C93" s="49"/>
      <c r="D93" s="50"/>
      <c r="E93" s="51"/>
      <c r="F93" s="52"/>
      <c r="G93" s="53"/>
      <c r="H93" s="50"/>
      <c r="I93" s="51"/>
      <c r="J93" s="53"/>
      <c r="K93" s="53"/>
      <c r="L93" s="39" t="str">
        <f aca="false">IF($B93="","",IF($H93="","보유중","청산"))</f>
        <v/>
      </c>
      <c r="M93" s="40" t="str">
        <f aca="false">IF($B93="","",$E93*$F93)</f>
        <v/>
      </c>
      <c r="N93" s="40" t="str">
        <f aca="false">IF($L93="청산",$I93*$F93,"")</f>
        <v/>
      </c>
      <c r="O93" s="40" t="str">
        <f aca="false">IF($B93="","",$G93+$J93+$K93)</f>
        <v/>
      </c>
      <c r="P93" s="41" t="str">
        <f aca="false">IF($L93="청산",$N93-$M93-$O93,"")</f>
        <v/>
      </c>
      <c r="Q93" s="42" t="str">
        <f aca="false">IF($L93="청산",IF($M93=0,"",$P93/$M93),"")</f>
        <v/>
      </c>
      <c r="R93" s="43" t="str">
        <f aca="true">IF($B93="","",IF($L93="청산",$H93-$D93,IF($D93="","",TODAY()-$D93)))</f>
        <v/>
      </c>
      <c r="S93" s="44" t="str">
        <f aca="false">IF($L93="청산",DATE(YEAR($H93),MONTH($H93),1),"")</f>
        <v/>
      </c>
      <c r="T93" s="48"/>
      <c r="U93" s="49"/>
      <c r="V93" s="46" t="str">
        <f aca="false">IF($B93="","",IF($L93&lt;&gt;"청산",N(V92),IF($P93&gt;0,N(V92)+1,0)))</f>
        <v/>
      </c>
      <c r="W93" s="46" t="str">
        <f aca="false">IF($B93="","",IF($L93&lt;&gt;"청산",N(W92),IF($P93&lt;0,N(W92)+1,0)))</f>
        <v/>
      </c>
    </row>
    <row r="94" customFormat="false" ht="15" hidden="false" customHeight="false" outlineLevel="0" collapsed="false">
      <c r="A94" s="32" t="str">
        <f aca="false">IF($B94="","",ROW()-5)</f>
        <v/>
      </c>
      <c r="B94" s="48"/>
      <c r="C94" s="49"/>
      <c r="D94" s="50"/>
      <c r="E94" s="51"/>
      <c r="F94" s="52"/>
      <c r="G94" s="53"/>
      <c r="H94" s="50"/>
      <c r="I94" s="51"/>
      <c r="J94" s="53"/>
      <c r="K94" s="53"/>
      <c r="L94" s="39" t="str">
        <f aca="false">IF($B94="","",IF($H94="","보유중","청산"))</f>
        <v/>
      </c>
      <c r="M94" s="40" t="str">
        <f aca="false">IF($B94="","",$E94*$F94)</f>
        <v/>
      </c>
      <c r="N94" s="40" t="str">
        <f aca="false">IF($L94="청산",$I94*$F94,"")</f>
        <v/>
      </c>
      <c r="O94" s="40" t="str">
        <f aca="false">IF($B94="","",$G94+$J94+$K94)</f>
        <v/>
      </c>
      <c r="P94" s="41" t="str">
        <f aca="false">IF($L94="청산",$N94-$M94-$O94,"")</f>
        <v/>
      </c>
      <c r="Q94" s="42" t="str">
        <f aca="false">IF($L94="청산",IF($M94=0,"",$P94/$M94),"")</f>
        <v/>
      </c>
      <c r="R94" s="43" t="str">
        <f aca="true">IF($B94="","",IF($L94="청산",$H94-$D94,IF($D94="","",TODAY()-$D94)))</f>
        <v/>
      </c>
      <c r="S94" s="44" t="str">
        <f aca="false">IF($L94="청산",DATE(YEAR($H94),MONTH($H94),1),"")</f>
        <v/>
      </c>
      <c r="T94" s="48"/>
      <c r="U94" s="49"/>
      <c r="V94" s="46" t="str">
        <f aca="false">IF($B94="","",IF($L94&lt;&gt;"청산",N(V93),IF($P94&gt;0,N(V93)+1,0)))</f>
        <v/>
      </c>
      <c r="W94" s="46" t="str">
        <f aca="false">IF($B94="","",IF($L94&lt;&gt;"청산",N(W93),IF($P94&lt;0,N(W93)+1,0)))</f>
        <v/>
      </c>
    </row>
    <row r="95" customFormat="false" ht="15" hidden="false" customHeight="false" outlineLevel="0" collapsed="false">
      <c r="A95" s="32" t="str">
        <f aca="false">IF($B95="","",ROW()-5)</f>
        <v/>
      </c>
      <c r="B95" s="48"/>
      <c r="C95" s="49"/>
      <c r="D95" s="50"/>
      <c r="E95" s="51"/>
      <c r="F95" s="52"/>
      <c r="G95" s="53"/>
      <c r="H95" s="50"/>
      <c r="I95" s="51"/>
      <c r="J95" s="53"/>
      <c r="K95" s="53"/>
      <c r="L95" s="39" t="str">
        <f aca="false">IF($B95="","",IF($H95="","보유중","청산"))</f>
        <v/>
      </c>
      <c r="M95" s="40" t="str">
        <f aca="false">IF($B95="","",$E95*$F95)</f>
        <v/>
      </c>
      <c r="N95" s="40" t="str">
        <f aca="false">IF($L95="청산",$I95*$F95,"")</f>
        <v/>
      </c>
      <c r="O95" s="40" t="str">
        <f aca="false">IF($B95="","",$G95+$J95+$K95)</f>
        <v/>
      </c>
      <c r="P95" s="41" t="str">
        <f aca="false">IF($L95="청산",$N95-$M95-$O95,"")</f>
        <v/>
      </c>
      <c r="Q95" s="42" t="str">
        <f aca="false">IF($L95="청산",IF($M95=0,"",$P95/$M95),"")</f>
        <v/>
      </c>
      <c r="R95" s="43" t="str">
        <f aca="true">IF($B95="","",IF($L95="청산",$H95-$D95,IF($D95="","",TODAY()-$D95)))</f>
        <v/>
      </c>
      <c r="S95" s="44" t="str">
        <f aca="false">IF($L95="청산",DATE(YEAR($H95),MONTH($H95),1),"")</f>
        <v/>
      </c>
      <c r="T95" s="48"/>
      <c r="U95" s="49"/>
      <c r="V95" s="46" t="str">
        <f aca="false">IF($B95="","",IF($L95&lt;&gt;"청산",N(V94),IF($P95&gt;0,N(V94)+1,0)))</f>
        <v/>
      </c>
      <c r="W95" s="46" t="str">
        <f aca="false">IF($B95="","",IF($L95&lt;&gt;"청산",N(W94),IF($P95&lt;0,N(W94)+1,0)))</f>
        <v/>
      </c>
    </row>
    <row r="96" customFormat="false" ht="15" hidden="false" customHeight="false" outlineLevel="0" collapsed="false">
      <c r="A96" s="32" t="str">
        <f aca="false">IF($B96="","",ROW()-5)</f>
        <v/>
      </c>
      <c r="B96" s="48"/>
      <c r="C96" s="49"/>
      <c r="D96" s="50"/>
      <c r="E96" s="51"/>
      <c r="F96" s="52"/>
      <c r="G96" s="53"/>
      <c r="H96" s="50"/>
      <c r="I96" s="51"/>
      <c r="J96" s="53"/>
      <c r="K96" s="53"/>
      <c r="L96" s="39" t="str">
        <f aca="false">IF($B96="","",IF($H96="","보유중","청산"))</f>
        <v/>
      </c>
      <c r="M96" s="40" t="str">
        <f aca="false">IF($B96="","",$E96*$F96)</f>
        <v/>
      </c>
      <c r="N96" s="40" t="str">
        <f aca="false">IF($L96="청산",$I96*$F96,"")</f>
        <v/>
      </c>
      <c r="O96" s="40" t="str">
        <f aca="false">IF($B96="","",$G96+$J96+$K96)</f>
        <v/>
      </c>
      <c r="P96" s="41" t="str">
        <f aca="false">IF($L96="청산",$N96-$M96-$O96,"")</f>
        <v/>
      </c>
      <c r="Q96" s="42" t="str">
        <f aca="false">IF($L96="청산",IF($M96=0,"",$P96/$M96),"")</f>
        <v/>
      </c>
      <c r="R96" s="43" t="str">
        <f aca="true">IF($B96="","",IF($L96="청산",$H96-$D96,IF($D96="","",TODAY()-$D96)))</f>
        <v/>
      </c>
      <c r="S96" s="44" t="str">
        <f aca="false">IF($L96="청산",DATE(YEAR($H96),MONTH($H96),1),"")</f>
        <v/>
      </c>
      <c r="T96" s="48"/>
      <c r="U96" s="49"/>
      <c r="V96" s="46" t="str">
        <f aca="false">IF($B96="","",IF($L96&lt;&gt;"청산",N(V95),IF($P96&gt;0,N(V95)+1,0)))</f>
        <v/>
      </c>
      <c r="W96" s="46" t="str">
        <f aca="false">IF($B96="","",IF($L96&lt;&gt;"청산",N(W95),IF($P96&lt;0,N(W95)+1,0)))</f>
        <v/>
      </c>
    </row>
    <row r="97" customFormat="false" ht="15" hidden="false" customHeight="false" outlineLevel="0" collapsed="false">
      <c r="A97" s="32" t="str">
        <f aca="false">IF($B97="","",ROW()-5)</f>
        <v/>
      </c>
      <c r="B97" s="48"/>
      <c r="C97" s="49"/>
      <c r="D97" s="50"/>
      <c r="E97" s="51"/>
      <c r="F97" s="52"/>
      <c r="G97" s="53"/>
      <c r="H97" s="50"/>
      <c r="I97" s="51"/>
      <c r="J97" s="53"/>
      <c r="K97" s="53"/>
      <c r="L97" s="39" t="str">
        <f aca="false">IF($B97="","",IF($H97="","보유중","청산"))</f>
        <v/>
      </c>
      <c r="M97" s="40" t="str">
        <f aca="false">IF($B97="","",$E97*$F97)</f>
        <v/>
      </c>
      <c r="N97" s="40" t="str">
        <f aca="false">IF($L97="청산",$I97*$F97,"")</f>
        <v/>
      </c>
      <c r="O97" s="40" t="str">
        <f aca="false">IF($B97="","",$G97+$J97+$K97)</f>
        <v/>
      </c>
      <c r="P97" s="41" t="str">
        <f aca="false">IF($L97="청산",$N97-$M97-$O97,"")</f>
        <v/>
      </c>
      <c r="Q97" s="42" t="str">
        <f aca="false">IF($L97="청산",IF($M97=0,"",$P97/$M97),"")</f>
        <v/>
      </c>
      <c r="R97" s="43" t="str">
        <f aca="true">IF($B97="","",IF($L97="청산",$H97-$D97,IF($D97="","",TODAY()-$D97)))</f>
        <v/>
      </c>
      <c r="S97" s="44" t="str">
        <f aca="false">IF($L97="청산",DATE(YEAR($H97),MONTH($H97),1),"")</f>
        <v/>
      </c>
      <c r="T97" s="48"/>
      <c r="U97" s="49"/>
      <c r="V97" s="46" t="str">
        <f aca="false">IF($B97="","",IF($L97&lt;&gt;"청산",N(V96),IF($P97&gt;0,N(V96)+1,0)))</f>
        <v/>
      </c>
      <c r="W97" s="46" t="str">
        <f aca="false">IF($B97="","",IF($L97&lt;&gt;"청산",N(W96),IF($P97&lt;0,N(W96)+1,0)))</f>
        <v/>
      </c>
    </row>
    <row r="98" customFormat="false" ht="15" hidden="false" customHeight="false" outlineLevel="0" collapsed="false">
      <c r="A98" s="32" t="str">
        <f aca="false">IF($B98="","",ROW()-5)</f>
        <v/>
      </c>
      <c r="B98" s="48"/>
      <c r="C98" s="49"/>
      <c r="D98" s="50"/>
      <c r="E98" s="51"/>
      <c r="F98" s="52"/>
      <c r="G98" s="53"/>
      <c r="H98" s="50"/>
      <c r="I98" s="51"/>
      <c r="J98" s="53"/>
      <c r="K98" s="53"/>
      <c r="L98" s="39" t="str">
        <f aca="false">IF($B98="","",IF($H98="","보유중","청산"))</f>
        <v/>
      </c>
      <c r="M98" s="40" t="str">
        <f aca="false">IF($B98="","",$E98*$F98)</f>
        <v/>
      </c>
      <c r="N98" s="40" t="str">
        <f aca="false">IF($L98="청산",$I98*$F98,"")</f>
        <v/>
      </c>
      <c r="O98" s="40" t="str">
        <f aca="false">IF($B98="","",$G98+$J98+$K98)</f>
        <v/>
      </c>
      <c r="P98" s="41" t="str">
        <f aca="false">IF($L98="청산",$N98-$M98-$O98,"")</f>
        <v/>
      </c>
      <c r="Q98" s="42" t="str">
        <f aca="false">IF($L98="청산",IF($M98=0,"",$P98/$M98),"")</f>
        <v/>
      </c>
      <c r="R98" s="43" t="str">
        <f aca="true">IF($B98="","",IF($L98="청산",$H98-$D98,IF($D98="","",TODAY()-$D98)))</f>
        <v/>
      </c>
      <c r="S98" s="44" t="str">
        <f aca="false">IF($L98="청산",DATE(YEAR($H98),MONTH($H98),1),"")</f>
        <v/>
      </c>
      <c r="T98" s="48"/>
      <c r="U98" s="49"/>
      <c r="V98" s="46" t="str">
        <f aca="false">IF($B98="","",IF($L98&lt;&gt;"청산",N(V97),IF($P98&gt;0,N(V97)+1,0)))</f>
        <v/>
      </c>
      <c r="W98" s="46" t="str">
        <f aca="false">IF($B98="","",IF($L98&lt;&gt;"청산",N(W97),IF($P98&lt;0,N(W97)+1,0)))</f>
        <v/>
      </c>
    </row>
    <row r="99" customFormat="false" ht="15" hidden="false" customHeight="false" outlineLevel="0" collapsed="false">
      <c r="A99" s="32" t="str">
        <f aca="false">IF($B99="","",ROW()-5)</f>
        <v/>
      </c>
      <c r="B99" s="48"/>
      <c r="C99" s="49"/>
      <c r="D99" s="50"/>
      <c r="E99" s="51"/>
      <c r="F99" s="52"/>
      <c r="G99" s="53"/>
      <c r="H99" s="50"/>
      <c r="I99" s="51"/>
      <c r="J99" s="53"/>
      <c r="K99" s="53"/>
      <c r="L99" s="39" t="str">
        <f aca="false">IF($B99="","",IF($H99="","보유중","청산"))</f>
        <v/>
      </c>
      <c r="M99" s="40" t="str">
        <f aca="false">IF($B99="","",$E99*$F99)</f>
        <v/>
      </c>
      <c r="N99" s="40" t="str">
        <f aca="false">IF($L99="청산",$I99*$F99,"")</f>
        <v/>
      </c>
      <c r="O99" s="40" t="str">
        <f aca="false">IF($B99="","",$G99+$J99+$K99)</f>
        <v/>
      </c>
      <c r="P99" s="41" t="str">
        <f aca="false">IF($L99="청산",$N99-$M99-$O99,"")</f>
        <v/>
      </c>
      <c r="Q99" s="42" t="str">
        <f aca="false">IF($L99="청산",IF($M99=0,"",$P99/$M99),"")</f>
        <v/>
      </c>
      <c r="R99" s="43" t="str">
        <f aca="true">IF($B99="","",IF($L99="청산",$H99-$D99,IF($D99="","",TODAY()-$D99)))</f>
        <v/>
      </c>
      <c r="S99" s="44" t="str">
        <f aca="false">IF($L99="청산",DATE(YEAR($H99),MONTH($H99),1),"")</f>
        <v/>
      </c>
      <c r="T99" s="48"/>
      <c r="U99" s="49"/>
      <c r="V99" s="46" t="str">
        <f aca="false">IF($B99="","",IF($L99&lt;&gt;"청산",N(V98),IF($P99&gt;0,N(V98)+1,0)))</f>
        <v/>
      </c>
      <c r="W99" s="46" t="str">
        <f aca="false">IF($B99="","",IF($L99&lt;&gt;"청산",N(W98),IF($P99&lt;0,N(W98)+1,0)))</f>
        <v/>
      </c>
    </row>
    <row r="100" customFormat="false" ht="15" hidden="false" customHeight="false" outlineLevel="0" collapsed="false">
      <c r="A100" s="32" t="str">
        <f aca="false">IF($B100="","",ROW()-5)</f>
        <v/>
      </c>
      <c r="B100" s="48"/>
      <c r="C100" s="49"/>
      <c r="D100" s="50"/>
      <c r="E100" s="51"/>
      <c r="F100" s="52"/>
      <c r="G100" s="53"/>
      <c r="H100" s="50"/>
      <c r="I100" s="51"/>
      <c r="J100" s="53"/>
      <c r="K100" s="53"/>
      <c r="L100" s="39" t="str">
        <f aca="false">IF($B100="","",IF($H100="","보유중","청산"))</f>
        <v/>
      </c>
      <c r="M100" s="40" t="str">
        <f aca="false">IF($B100="","",$E100*$F100)</f>
        <v/>
      </c>
      <c r="N100" s="40" t="str">
        <f aca="false">IF($L100="청산",$I100*$F100,"")</f>
        <v/>
      </c>
      <c r="O100" s="40" t="str">
        <f aca="false">IF($B100="","",$G100+$J100+$K100)</f>
        <v/>
      </c>
      <c r="P100" s="41" t="str">
        <f aca="false">IF($L100="청산",$N100-$M100-$O100,"")</f>
        <v/>
      </c>
      <c r="Q100" s="42" t="str">
        <f aca="false">IF($L100="청산",IF($M100=0,"",$P100/$M100),"")</f>
        <v/>
      </c>
      <c r="R100" s="43" t="str">
        <f aca="true">IF($B100="","",IF($L100="청산",$H100-$D100,IF($D100="","",TODAY()-$D100)))</f>
        <v/>
      </c>
      <c r="S100" s="44" t="str">
        <f aca="false">IF($L100="청산",DATE(YEAR($H100),MONTH($H100),1),"")</f>
        <v/>
      </c>
      <c r="T100" s="48"/>
      <c r="U100" s="49"/>
      <c r="V100" s="46" t="str">
        <f aca="false">IF($B100="","",IF($L100&lt;&gt;"청산",N(V99),IF($P100&gt;0,N(V99)+1,0)))</f>
        <v/>
      </c>
      <c r="W100" s="46" t="str">
        <f aca="false">IF($B100="","",IF($L100&lt;&gt;"청산",N(W99),IF($P100&lt;0,N(W99)+1,0)))</f>
        <v/>
      </c>
    </row>
    <row r="101" customFormat="false" ht="15" hidden="false" customHeight="false" outlineLevel="0" collapsed="false">
      <c r="A101" s="32" t="str">
        <f aca="false">IF($B101="","",ROW()-5)</f>
        <v/>
      </c>
      <c r="B101" s="48"/>
      <c r="C101" s="49"/>
      <c r="D101" s="50"/>
      <c r="E101" s="51"/>
      <c r="F101" s="52"/>
      <c r="G101" s="53"/>
      <c r="H101" s="50"/>
      <c r="I101" s="51"/>
      <c r="J101" s="53"/>
      <c r="K101" s="53"/>
      <c r="L101" s="39" t="str">
        <f aca="false">IF($B101="","",IF($H101="","보유중","청산"))</f>
        <v/>
      </c>
      <c r="M101" s="40" t="str">
        <f aca="false">IF($B101="","",$E101*$F101)</f>
        <v/>
      </c>
      <c r="N101" s="40" t="str">
        <f aca="false">IF($L101="청산",$I101*$F101,"")</f>
        <v/>
      </c>
      <c r="O101" s="40" t="str">
        <f aca="false">IF($B101="","",$G101+$J101+$K101)</f>
        <v/>
      </c>
      <c r="P101" s="41" t="str">
        <f aca="false">IF($L101="청산",$N101-$M101-$O101,"")</f>
        <v/>
      </c>
      <c r="Q101" s="42" t="str">
        <f aca="false">IF($L101="청산",IF($M101=0,"",$P101/$M101),"")</f>
        <v/>
      </c>
      <c r="R101" s="43" t="str">
        <f aca="true">IF($B101="","",IF($L101="청산",$H101-$D101,IF($D101="","",TODAY()-$D101)))</f>
        <v/>
      </c>
      <c r="S101" s="44" t="str">
        <f aca="false">IF($L101="청산",DATE(YEAR($H101),MONTH($H101),1),"")</f>
        <v/>
      </c>
      <c r="T101" s="48"/>
      <c r="U101" s="49"/>
      <c r="V101" s="46" t="str">
        <f aca="false">IF($B101="","",IF($L101&lt;&gt;"청산",N(V100),IF($P101&gt;0,N(V100)+1,0)))</f>
        <v/>
      </c>
      <c r="W101" s="46" t="str">
        <f aca="false">IF($B101="","",IF($L101&lt;&gt;"청산",N(W100),IF($P101&lt;0,N(W100)+1,0)))</f>
        <v/>
      </c>
    </row>
    <row r="102" customFormat="false" ht="15" hidden="false" customHeight="false" outlineLevel="0" collapsed="false">
      <c r="A102" s="32" t="str">
        <f aca="false">IF($B102="","",ROW()-5)</f>
        <v/>
      </c>
      <c r="B102" s="48"/>
      <c r="C102" s="49"/>
      <c r="D102" s="50"/>
      <c r="E102" s="51"/>
      <c r="F102" s="52"/>
      <c r="G102" s="53"/>
      <c r="H102" s="50"/>
      <c r="I102" s="51"/>
      <c r="J102" s="53"/>
      <c r="K102" s="53"/>
      <c r="L102" s="39" t="str">
        <f aca="false">IF($B102="","",IF($H102="","보유중","청산"))</f>
        <v/>
      </c>
      <c r="M102" s="40" t="str">
        <f aca="false">IF($B102="","",$E102*$F102)</f>
        <v/>
      </c>
      <c r="N102" s="40" t="str">
        <f aca="false">IF($L102="청산",$I102*$F102,"")</f>
        <v/>
      </c>
      <c r="O102" s="40" t="str">
        <f aca="false">IF($B102="","",$G102+$J102+$K102)</f>
        <v/>
      </c>
      <c r="P102" s="41" t="str">
        <f aca="false">IF($L102="청산",$N102-$M102-$O102,"")</f>
        <v/>
      </c>
      <c r="Q102" s="42" t="str">
        <f aca="false">IF($L102="청산",IF($M102=0,"",$P102/$M102),"")</f>
        <v/>
      </c>
      <c r="R102" s="43" t="str">
        <f aca="true">IF($B102="","",IF($L102="청산",$H102-$D102,IF($D102="","",TODAY()-$D102)))</f>
        <v/>
      </c>
      <c r="S102" s="44" t="str">
        <f aca="false">IF($L102="청산",DATE(YEAR($H102),MONTH($H102),1),"")</f>
        <v/>
      </c>
      <c r="T102" s="48"/>
      <c r="U102" s="49"/>
      <c r="V102" s="46" t="str">
        <f aca="false">IF($B102="","",IF($L102&lt;&gt;"청산",N(V101),IF($P102&gt;0,N(V101)+1,0)))</f>
        <v/>
      </c>
      <c r="W102" s="46" t="str">
        <f aca="false">IF($B102="","",IF($L102&lt;&gt;"청산",N(W101),IF($P102&lt;0,N(W101)+1,0)))</f>
        <v/>
      </c>
    </row>
    <row r="103" customFormat="false" ht="15" hidden="false" customHeight="false" outlineLevel="0" collapsed="false">
      <c r="A103" s="32" t="str">
        <f aca="false">IF($B103="","",ROW()-5)</f>
        <v/>
      </c>
      <c r="B103" s="48"/>
      <c r="C103" s="49"/>
      <c r="D103" s="50"/>
      <c r="E103" s="51"/>
      <c r="F103" s="52"/>
      <c r="G103" s="53"/>
      <c r="H103" s="50"/>
      <c r="I103" s="51"/>
      <c r="J103" s="53"/>
      <c r="K103" s="53"/>
      <c r="L103" s="39" t="str">
        <f aca="false">IF($B103="","",IF($H103="","보유중","청산"))</f>
        <v/>
      </c>
      <c r="M103" s="40" t="str">
        <f aca="false">IF($B103="","",$E103*$F103)</f>
        <v/>
      </c>
      <c r="N103" s="40" t="str">
        <f aca="false">IF($L103="청산",$I103*$F103,"")</f>
        <v/>
      </c>
      <c r="O103" s="40" t="str">
        <f aca="false">IF($B103="","",$G103+$J103+$K103)</f>
        <v/>
      </c>
      <c r="P103" s="41" t="str">
        <f aca="false">IF($L103="청산",$N103-$M103-$O103,"")</f>
        <v/>
      </c>
      <c r="Q103" s="42" t="str">
        <f aca="false">IF($L103="청산",IF($M103=0,"",$P103/$M103),"")</f>
        <v/>
      </c>
      <c r="R103" s="43" t="str">
        <f aca="true">IF($B103="","",IF($L103="청산",$H103-$D103,IF($D103="","",TODAY()-$D103)))</f>
        <v/>
      </c>
      <c r="S103" s="44" t="str">
        <f aca="false">IF($L103="청산",DATE(YEAR($H103),MONTH($H103),1),"")</f>
        <v/>
      </c>
      <c r="T103" s="48"/>
      <c r="U103" s="49"/>
      <c r="V103" s="46" t="str">
        <f aca="false">IF($B103="","",IF($L103&lt;&gt;"청산",N(V102),IF($P103&gt;0,N(V102)+1,0)))</f>
        <v/>
      </c>
      <c r="W103" s="46" t="str">
        <f aca="false">IF($B103="","",IF($L103&lt;&gt;"청산",N(W102),IF($P103&lt;0,N(W102)+1,0)))</f>
        <v/>
      </c>
    </row>
    <row r="104" customFormat="false" ht="15" hidden="false" customHeight="false" outlineLevel="0" collapsed="false">
      <c r="A104" s="32" t="str">
        <f aca="false">IF($B104="","",ROW()-5)</f>
        <v/>
      </c>
      <c r="B104" s="48"/>
      <c r="C104" s="49"/>
      <c r="D104" s="50"/>
      <c r="E104" s="51"/>
      <c r="F104" s="52"/>
      <c r="G104" s="53"/>
      <c r="H104" s="50"/>
      <c r="I104" s="51"/>
      <c r="J104" s="53"/>
      <c r="K104" s="53"/>
      <c r="L104" s="39" t="str">
        <f aca="false">IF($B104="","",IF($H104="","보유중","청산"))</f>
        <v/>
      </c>
      <c r="M104" s="40" t="str">
        <f aca="false">IF($B104="","",$E104*$F104)</f>
        <v/>
      </c>
      <c r="N104" s="40" t="str">
        <f aca="false">IF($L104="청산",$I104*$F104,"")</f>
        <v/>
      </c>
      <c r="O104" s="40" t="str">
        <f aca="false">IF($B104="","",$G104+$J104+$K104)</f>
        <v/>
      </c>
      <c r="P104" s="41" t="str">
        <f aca="false">IF($L104="청산",$N104-$M104-$O104,"")</f>
        <v/>
      </c>
      <c r="Q104" s="42" t="str">
        <f aca="false">IF($L104="청산",IF($M104=0,"",$P104/$M104),"")</f>
        <v/>
      </c>
      <c r="R104" s="43" t="str">
        <f aca="true">IF($B104="","",IF($L104="청산",$H104-$D104,IF($D104="","",TODAY()-$D104)))</f>
        <v/>
      </c>
      <c r="S104" s="44" t="str">
        <f aca="false">IF($L104="청산",DATE(YEAR($H104),MONTH($H104),1),"")</f>
        <v/>
      </c>
      <c r="T104" s="48"/>
      <c r="U104" s="49"/>
      <c r="V104" s="46" t="str">
        <f aca="false">IF($B104="","",IF($L104&lt;&gt;"청산",N(V103),IF($P104&gt;0,N(V103)+1,0)))</f>
        <v/>
      </c>
      <c r="W104" s="46" t="str">
        <f aca="false">IF($B104="","",IF($L104&lt;&gt;"청산",N(W103),IF($P104&lt;0,N(W103)+1,0)))</f>
        <v/>
      </c>
    </row>
    <row r="105" customFormat="false" ht="15" hidden="false" customHeight="false" outlineLevel="0" collapsed="false">
      <c r="A105" s="32" t="str">
        <f aca="false">IF($B105="","",ROW()-5)</f>
        <v/>
      </c>
      <c r="B105" s="48"/>
      <c r="C105" s="49"/>
      <c r="D105" s="50"/>
      <c r="E105" s="51"/>
      <c r="F105" s="52"/>
      <c r="G105" s="53"/>
      <c r="H105" s="50"/>
      <c r="I105" s="51"/>
      <c r="J105" s="53"/>
      <c r="K105" s="53"/>
      <c r="L105" s="39" t="str">
        <f aca="false">IF($B105="","",IF($H105="","보유중","청산"))</f>
        <v/>
      </c>
      <c r="M105" s="40" t="str">
        <f aca="false">IF($B105="","",$E105*$F105)</f>
        <v/>
      </c>
      <c r="N105" s="40" t="str">
        <f aca="false">IF($L105="청산",$I105*$F105,"")</f>
        <v/>
      </c>
      <c r="O105" s="40" t="str">
        <f aca="false">IF($B105="","",$G105+$J105+$K105)</f>
        <v/>
      </c>
      <c r="P105" s="41" t="str">
        <f aca="false">IF($L105="청산",$N105-$M105-$O105,"")</f>
        <v/>
      </c>
      <c r="Q105" s="42" t="str">
        <f aca="false">IF($L105="청산",IF($M105=0,"",$P105/$M105),"")</f>
        <v/>
      </c>
      <c r="R105" s="43" t="str">
        <f aca="true">IF($B105="","",IF($L105="청산",$H105-$D105,IF($D105="","",TODAY()-$D105)))</f>
        <v/>
      </c>
      <c r="S105" s="44" t="str">
        <f aca="false">IF($L105="청산",DATE(YEAR($H105),MONTH($H105),1),"")</f>
        <v/>
      </c>
      <c r="T105" s="48"/>
      <c r="U105" s="49"/>
      <c r="V105" s="46" t="str">
        <f aca="false">IF($B105="","",IF($L105&lt;&gt;"청산",N(V104),IF($P105&gt;0,N(V104)+1,0)))</f>
        <v/>
      </c>
      <c r="W105" s="46" t="str">
        <f aca="false">IF($B105="","",IF($L105&lt;&gt;"청산",N(W104),IF($P105&lt;0,N(W104)+1,0)))</f>
        <v/>
      </c>
    </row>
    <row r="106" customFormat="false" ht="15" hidden="false" customHeight="false" outlineLevel="0" collapsed="false">
      <c r="A106" s="32" t="str">
        <f aca="false">IF($B106="","",ROW()-5)</f>
        <v/>
      </c>
      <c r="B106" s="48"/>
      <c r="C106" s="49"/>
      <c r="D106" s="50"/>
      <c r="E106" s="51"/>
      <c r="F106" s="52"/>
      <c r="G106" s="53"/>
      <c r="H106" s="50"/>
      <c r="I106" s="51"/>
      <c r="J106" s="53"/>
      <c r="K106" s="53"/>
      <c r="L106" s="39" t="str">
        <f aca="false">IF($B106="","",IF($H106="","보유중","청산"))</f>
        <v/>
      </c>
      <c r="M106" s="40" t="str">
        <f aca="false">IF($B106="","",$E106*$F106)</f>
        <v/>
      </c>
      <c r="N106" s="40" t="str">
        <f aca="false">IF($L106="청산",$I106*$F106,"")</f>
        <v/>
      </c>
      <c r="O106" s="40" t="str">
        <f aca="false">IF($B106="","",$G106+$J106+$K106)</f>
        <v/>
      </c>
      <c r="P106" s="41" t="str">
        <f aca="false">IF($L106="청산",$N106-$M106-$O106,"")</f>
        <v/>
      </c>
      <c r="Q106" s="42" t="str">
        <f aca="false">IF($L106="청산",IF($M106=0,"",$P106/$M106),"")</f>
        <v/>
      </c>
      <c r="R106" s="43" t="str">
        <f aca="true">IF($B106="","",IF($L106="청산",$H106-$D106,IF($D106="","",TODAY()-$D106)))</f>
        <v/>
      </c>
      <c r="S106" s="44" t="str">
        <f aca="false">IF($L106="청산",DATE(YEAR($H106),MONTH($H106),1),"")</f>
        <v/>
      </c>
      <c r="T106" s="48"/>
      <c r="U106" s="49"/>
      <c r="V106" s="46" t="str">
        <f aca="false">IF($B106="","",IF($L106&lt;&gt;"청산",N(V105),IF($P106&gt;0,N(V105)+1,0)))</f>
        <v/>
      </c>
      <c r="W106" s="46" t="str">
        <f aca="false">IF($B106="","",IF($L106&lt;&gt;"청산",N(W105),IF($P106&lt;0,N(W105)+1,0)))</f>
        <v/>
      </c>
    </row>
    <row r="107" customFormat="false" ht="15" hidden="false" customHeight="false" outlineLevel="0" collapsed="false">
      <c r="A107" s="32" t="str">
        <f aca="false">IF($B107="","",ROW()-5)</f>
        <v/>
      </c>
      <c r="B107" s="48"/>
      <c r="C107" s="49"/>
      <c r="D107" s="50"/>
      <c r="E107" s="51"/>
      <c r="F107" s="52"/>
      <c r="G107" s="53"/>
      <c r="H107" s="50"/>
      <c r="I107" s="51"/>
      <c r="J107" s="53"/>
      <c r="K107" s="53"/>
      <c r="L107" s="39" t="str">
        <f aca="false">IF($B107="","",IF($H107="","보유중","청산"))</f>
        <v/>
      </c>
      <c r="M107" s="40" t="str">
        <f aca="false">IF($B107="","",$E107*$F107)</f>
        <v/>
      </c>
      <c r="N107" s="40" t="str">
        <f aca="false">IF($L107="청산",$I107*$F107,"")</f>
        <v/>
      </c>
      <c r="O107" s="40" t="str">
        <f aca="false">IF($B107="","",$G107+$J107+$K107)</f>
        <v/>
      </c>
      <c r="P107" s="41" t="str">
        <f aca="false">IF($L107="청산",$N107-$M107-$O107,"")</f>
        <v/>
      </c>
      <c r="Q107" s="42" t="str">
        <f aca="false">IF($L107="청산",IF($M107=0,"",$P107/$M107),"")</f>
        <v/>
      </c>
      <c r="R107" s="43" t="str">
        <f aca="true">IF($B107="","",IF($L107="청산",$H107-$D107,IF($D107="","",TODAY()-$D107)))</f>
        <v/>
      </c>
      <c r="S107" s="44" t="str">
        <f aca="false">IF($L107="청산",DATE(YEAR($H107),MONTH($H107),1),"")</f>
        <v/>
      </c>
      <c r="T107" s="48"/>
      <c r="U107" s="49"/>
      <c r="V107" s="46" t="str">
        <f aca="false">IF($B107="","",IF($L107&lt;&gt;"청산",N(V106),IF($P107&gt;0,N(V106)+1,0)))</f>
        <v/>
      </c>
      <c r="W107" s="46" t="str">
        <f aca="false">IF($B107="","",IF($L107&lt;&gt;"청산",N(W106),IF($P107&lt;0,N(W106)+1,0)))</f>
        <v/>
      </c>
    </row>
    <row r="108" customFormat="false" ht="15" hidden="false" customHeight="false" outlineLevel="0" collapsed="false">
      <c r="A108" s="32" t="str">
        <f aca="false">IF($B108="","",ROW()-5)</f>
        <v/>
      </c>
      <c r="B108" s="48"/>
      <c r="C108" s="49"/>
      <c r="D108" s="50"/>
      <c r="E108" s="51"/>
      <c r="F108" s="52"/>
      <c r="G108" s="53"/>
      <c r="H108" s="50"/>
      <c r="I108" s="51"/>
      <c r="J108" s="53"/>
      <c r="K108" s="53"/>
      <c r="L108" s="39" t="str">
        <f aca="false">IF($B108="","",IF($H108="","보유중","청산"))</f>
        <v/>
      </c>
      <c r="M108" s="40" t="str">
        <f aca="false">IF($B108="","",$E108*$F108)</f>
        <v/>
      </c>
      <c r="N108" s="40" t="str">
        <f aca="false">IF($L108="청산",$I108*$F108,"")</f>
        <v/>
      </c>
      <c r="O108" s="40" t="str">
        <f aca="false">IF($B108="","",$G108+$J108+$K108)</f>
        <v/>
      </c>
      <c r="P108" s="41" t="str">
        <f aca="false">IF($L108="청산",$N108-$M108-$O108,"")</f>
        <v/>
      </c>
      <c r="Q108" s="42" t="str">
        <f aca="false">IF($L108="청산",IF($M108=0,"",$P108/$M108),"")</f>
        <v/>
      </c>
      <c r="R108" s="43" t="str">
        <f aca="true">IF($B108="","",IF($L108="청산",$H108-$D108,IF($D108="","",TODAY()-$D108)))</f>
        <v/>
      </c>
      <c r="S108" s="44" t="str">
        <f aca="false">IF($L108="청산",DATE(YEAR($H108),MONTH($H108),1),"")</f>
        <v/>
      </c>
      <c r="T108" s="48"/>
      <c r="U108" s="49"/>
      <c r="V108" s="46" t="str">
        <f aca="false">IF($B108="","",IF($L108&lt;&gt;"청산",N(V107),IF($P108&gt;0,N(V107)+1,0)))</f>
        <v/>
      </c>
      <c r="W108" s="46" t="str">
        <f aca="false">IF($B108="","",IF($L108&lt;&gt;"청산",N(W107),IF($P108&lt;0,N(W107)+1,0)))</f>
        <v/>
      </c>
    </row>
    <row r="109" customFormat="false" ht="15" hidden="false" customHeight="false" outlineLevel="0" collapsed="false">
      <c r="A109" s="32" t="str">
        <f aca="false">IF($B109="","",ROW()-5)</f>
        <v/>
      </c>
      <c r="B109" s="48"/>
      <c r="C109" s="49"/>
      <c r="D109" s="50"/>
      <c r="E109" s="51"/>
      <c r="F109" s="52"/>
      <c r="G109" s="53"/>
      <c r="H109" s="50"/>
      <c r="I109" s="51"/>
      <c r="J109" s="53"/>
      <c r="K109" s="53"/>
      <c r="L109" s="39" t="str">
        <f aca="false">IF($B109="","",IF($H109="","보유중","청산"))</f>
        <v/>
      </c>
      <c r="M109" s="40" t="str">
        <f aca="false">IF($B109="","",$E109*$F109)</f>
        <v/>
      </c>
      <c r="N109" s="40" t="str">
        <f aca="false">IF($L109="청산",$I109*$F109,"")</f>
        <v/>
      </c>
      <c r="O109" s="40" t="str">
        <f aca="false">IF($B109="","",$G109+$J109+$K109)</f>
        <v/>
      </c>
      <c r="P109" s="41" t="str">
        <f aca="false">IF($L109="청산",$N109-$M109-$O109,"")</f>
        <v/>
      </c>
      <c r="Q109" s="42" t="str">
        <f aca="false">IF($L109="청산",IF($M109=0,"",$P109/$M109),"")</f>
        <v/>
      </c>
      <c r="R109" s="43" t="str">
        <f aca="true">IF($B109="","",IF($L109="청산",$H109-$D109,IF($D109="","",TODAY()-$D109)))</f>
        <v/>
      </c>
      <c r="S109" s="44" t="str">
        <f aca="false">IF($L109="청산",DATE(YEAR($H109),MONTH($H109),1),"")</f>
        <v/>
      </c>
      <c r="T109" s="48"/>
      <c r="U109" s="49"/>
      <c r="V109" s="46" t="str">
        <f aca="false">IF($B109="","",IF($L109&lt;&gt;"청산",N(V108),IF($P109&gt;0,N(V108)+1,0)))</f>
        <v/>
      </c>
      <c r="W109" s="46" t="str">
        <f aca="false">IF($B109="","",IF($L109&lt;&gt;"청산",N(W108),IF($P109&lt;0,N(W108)+1,0)))</f>
        <v/>
      </c>
    </row>
    <row r="110" customFormat="false" ht="15" hidden="false" customHeight="false" outlineLevel="0" collapsed="false">
      <c r="A110" s="32" t="str">
        <f aca="false">IF($B110="","",ROW()-5)</f>
        <v/>
      </c>
      <c r="B110" s="48"/>
      <c r="C110" s="49"/>
      <c r="D110" s="50"/>
      <c r="E110" s="51"/>
      <c r="F110" s="52"/>
      <c r="G110" s="53"/>
      <c r="H110" s="50"/>
      <c r="I110" s="51"/>
      <c r="J110" s="53"/>
      <c r="K110" s="53"/>
      <c r="L110" s="39" t="str">
        <f aca="false">IF($B110="","",IF($H110="","보유중","청산"))</f>
        <v/>
      </c>
      <c r="M110" s="40" t="str">
        <f aca="false">IF($B110="","",$E110*$F110)</f>
        <v/>
      </c>
      <c r="N110" s="40" t="str">
        <f aca="false">IF($L110="청산",$I110*$F110,"")</f>
        <v/>
      </c>
      <c r="O110" s="40" t="str">
        <f aca="false">IF($B110="","",$G110+$J110+$K110)</f>
        <v/>
      </c>
      <c r="P110" s="41" t="str">
        <f aca="false">IF($L110="청산",$N110-$M110-$O110,"")</f>
        <v/>
      </c>
      <c r="Q110" s="42" t="str">
        <f aca="false">IF($L110="청산",IF($M110=0,"",$P110/$M110),"")</f>
        <v/>
      </c>
      <c r="R110" s="43" t="str">
        <f aca="true">IF($B110="","",IF($L110="청산",$H110-$D110,IF($D110="","",TODAY()-$D110)))</f>
        <v/>
      </c>
      <c r="S110" s="44" t="str">
        <f aca="false">IF($L110="청산",DATE(YEAR($H110),MONTH($H110),1),"")</f>
        <v/>
      </c>
      <c r="T110" s="48"/>
      <c r="U110" s="49"/>
      <c r="V110" s="46" t="str">
        <f aca="false">IF($B110="","",IF($L110&lt;&gt;"청산",N(V109),IF($P110&gt;0,N(V109)+1,0)))</f>
        <v/>
      </c>
      <c r="W110" s="46" t="str">
        <f aca="false">IF($B110="","",IF($L110&lt;&gt;"청산",N(W109),IF($P110&lt;0,N(W109)+1,0)))</f>
        <v/>
      </c>
    </row>
    <row r="111" customFormat="false" ht="15" hidden="false" customHeight="false" outlineLevel="0" collapsed="false">
      <c r="A111" s="32" t="str">
        <f aca="false">IF($B111="","",ROW()-5)</f>
        <v/>
      </c>
      <c r="B111" s="48"/>
      <c r="C111" s="49"/>
      <c r="D111" s="50"/>
      <c r="E111" s="51"/>
      <c r="F111" s="52"/>
      <c r="G111" s="53"/>
      <c r="H111" s="50"/>
      <c r="I111" s="51"/>
      <c r="J111" s="53"/>
      <c r="K111" s="53"/>
      <c r="L111" s="39" t="str">
        <f aca="false">IF($B111="","",IF($H111="","보유중","청산"))</f>
        <v/>
      </c>
      <c r="M111" s="40" t="str">
        <f aca="false">IF($B111="","",$E111*$F111)</f>
        <v/>
      </c>
      <c r="N111" s="40" t="str">
        <f aca="false">IF($L111="청산",$I111*$F111,"")</f>
        <v/>
      </c>
      <c r="O111" s="40" t="str">
        <f aca="false">IF($B111="","",$G111+$J111+$K111)</f>
        <v/>
      </c>
      <c r="P111" s="41" t="str">
        <f aca="false">IF($L111="청산",$N111-$M111-$O111,"")</f>
        <v/>
      </c>
      <c r="Q111" s="42" t="str">
        <f aca="false">IF($L111="청산",IF($M111=0,"",$P111/$M111),"")</f>
        <v/>
      </c>
      <c r="R111" s="43" t="str">
        <f aca="true">IF($B111="","",IF($L111="청산",$H111-$D111,IF($D111="","",TODAY()-$D111)))</f>
        <v/>
      </c>
      <c r="S111" s="44" t="str">
        <f aca="false">IF($L111="청산",DATE(YEAR($H111),MONTH($H111),1),"")</f>
        <v/>
      </c>
      <c r="T111" s="48"/>
      <c r="U111" s="49"/>
      <c r="V111" s="46" t="str">
        <f aca="false">IF($B111="","",IF($L111&lt;&gt;"청산",N(V110),IF($P111&gt;0,N(V110)+1,0)))</f>
        <v/>
      </c>
      <c r="W111" s="46" t="str">
        <f aca="false">IF($B111="","",IF($L111&lt;&gt;"청산",N(W110),IF($P111&lt;0,N(W110)+1,0)))</f>
        <v/>
      </c>
    </row>
    <row r="112" customFormat="false" ht="15" hidden="false" customHeight="false" outlineLevel="0" collapsed="false">
      <c r="A112" s="32" t="str">
        <f aca="false">IF($B112="","",ROW()-5)</f>
        <v/>
      </c>
      <c r="B112" s="48"/>
      <c r="C112" s="49"/>
      <c r="D112" s="50"/>
      <c r="E112" s="51"/>
      <c r="F112" s="52"/>
      <c r="G112" s="53"/>
      <c r="H112" s="50"/>
      <c r="I112" s="51"/>
      <c r="J112" s="53"/>
      <c r="K112" s="53"/>
      <c r="L112" s="39" t="str">
        <f aca="false">IF($B112="","",IF($H112="","보유중","청산"))</f>
        <v/>
      </c>
      <c r="M112" s="40" t="str">
        <f aca="false">IF($B112="","",$E112*$F112)</f>
        <v/>
      </c>
      <c r="N112" s="40" t="str">
        <f aca="false">IF($L112="청산",$I112*$F112,"")</f>
        <v/>
      </c>
      <c r="O112" s="40" t="str">
        <f aca="false">IF($B112="","",$G112+$J112+$K112)</f>
        <v/>
      </c>
      <c r="P112" s="41" t="str">
        <f aca="false">IF($L112="청산",$N112-$M112-$O112,"")</f>
        <v/>
      </c>
      <c r="Q112" s="42" t="str">
        <f aca="false">IF($L112="청산",IF($M112=0,"",$P112/$M112),"")</f>
        <v/>
      </c>
      <c r="R112" s="43" t="str">
        <f aca="true">IF($B112="","",IF($L112="청산",$H112-$D112,IF($D112="","",TODAY()-$D112)))</f>
        <v/>
      </c>
      <c r="S112" s="44" t="str">
        <f aca="false">IF($L112="청산",DATE(YEAR($H112),MONTH($H112),1),"")</f>
        <v/>
      </c>
      <c r="T112" s="48"/>
      <c r="U112" s="49"/>
      <c r="V112" s="46" t="str">
        <f aca="false">IF($B112="","",IF($L112&lt;&gt;"청산",N(V111),IF($P112&gt;0,N(V111)+1,0)))</f>
        <v/>
      </c>
      <c r="W112" s="46" t="str">
        <f aca="false">IF($B112="","",IF($L112&lt;&gt;"청산",N(W111),IF($P112&lt;0,N(W111)+1,0)))</f>
        <v/>
      </c>
    </row>
    <row r="113" customFormat="false" ht="15" hidden="false" customHeight="false" outlineLevel="0" collapsed="false">
      <c r="A113" s="32" t="str">
        <f aca="false">IF($B113="","",ROW()-5)</f>
        <v/>
      </c>
      <c r="B113" s="48"/>
      <c r="C113" s="49"/>
      <c r="D113" s="50"/>
      <c r="E113" s="51"/>
      <c r="F113" s="52"/>
      <c r="G113" s="53"/>
      <c r="H113" s="50"/>
      <c r="I113" s="51"/>
      <c r="J113" s="53"/>
      <c r="K113" s="53"/>
      <c r="L113" s="39" t="str">
        <f aca="false">IF($B113="","",IF($H113="","보유중","청산"))</f>
        <v/>
      </c>
      <c r="M113" s="40" t="str">
        <f aca="false">IF($B113="","",$E113*$F113)</f>
        <v/>
      </c>
      <c r="N113" s="40" t="str">
        <f aca="false">IF($L113="청산",$I113*$F113,"")</f>
        <v/>
      </c>
      <c r="O113" s="40" t="str">
        <f aca="false">IF($B113="","",$G113+$J113+$K113)</f>
        <v/>
      </c>
      <c r="P113" s="41" t="str">
        <f aca="false">IF($L113="청산",$N113-$M113-$O113,"")</f>
        <v/>
      </c>
      <c r="Q113" s="42" t="str">
        <f aca="false">IF($L113="청산",IF($M113=0,"",$P113/$M113),"")</f>
        <v/>
      </c>
      <c r="R113" s="43" t="str">
        <f aca="true">IF($B113="","",IF($L113="청산",$H113-$D113,IF($D113="","",TODAY()-$D113)))</f>
        <v/>
      </c>
      <c r="S113" s="44" t="str">
        <f aca="false">IF($L113="청산",DATE(YEAR($H113),MONTH($H113),1),"")</f>
        <v/>
      </c>
      <c r="T113" s="48"/>
      <c r="U113" s="49"/>
      <c r="V113" s="46" t="str">
        <f aca="false">IF($B113="","",IF($L113&lt;&gt;"청산",N(V112),IF($P113&gt;0,N(V112)+1,0)))</f>
        <v/>
      </c>
      <c r="W113" s="46" t="str">
        <f aca="false">IF($B113="","",IF($L113&lt;&gt;"청산",N(W112),IF($P113&lt;0,N(W112)+1,0)))</f>
        <v/>
      </c>
    </row>
    <row r="114" customFormat="false" ht="15" hidden="false" customHeight="false" outlineLevel="0" collapsed="false">
      <c r="A114" s="32" t="str">
        <f aca="false">IF($B114="","",ROW()-5)</f>
        <v/>
      </c>
      <c r="B114" s="48"/>
      <c r="C114" s="49"/>
      <c r="D114" s="50"/>
      <c r="E114" s="51"/>
      <c r="F114" s="52"/>
      <c r="G114" s="53"/>
      <c r="H114" s="50"/>
      <c r="I114" s="51"/>
      <c r="J114" s="53"/>
      <c r="K114" s="53"/>
      <c r="L114" s="39" t="str">
        <f aca="false">IF($B114="","",IF($H114="","보유중","청산"))</f>
        <v/>
      </c>
      <c r="M114" s="40" t="str">
        <f aca="false">IF($B114="","",$E114*$F114)</f>
        <v/>
      </c>
      <c r="N114" s="40" t="str">
        <f aca="false">IF($L114="청산",$I114*$F114,"")</f>
        <v/>
      </c>
      <c r="O114" s="40" t="str">
        <f aca="false">IF($B114="","",$G114+$J114+$K114)</f>
        <v/>
      </c>
      <c r="P114" s="41" t="str">
        <f aca="false">IF($L114="청산",$N114-$M114-$O114,"")</f>
        <v/>
      </c>
      <c r="Q114" s="42" t="str">
        <f aca="false">IF($L114="청산",IF($M114=0,"",$P114/$M114),"")</f>
        <v/>
      </c>
      <c r="R114" s="43" t="str">
        <f aca="true">IF($B114="","",IF($L114="청산",$H114-$D114,IF($D114="","",TODAY()-$D114)))</f>
        <v/>
      </c>
      <c r="S114" s="44" t="str">
        <f aca="false">IF($L114="청산",DATE(YEAR($H114),MONTH($H114),1),"")</f>
        <v/>
      </c>
      <c r="T114" s="48"/>
      <c r="U114" s="49"/>
      <c r="V114" s="46" t="str">
        <f aca="false">IF($B114="","",IF($L114&lt;&gt;"청산",N(V113),IF($P114&gt;0,N(V113)+1,0)))</f>
        <v/>
      </c>
      <c r="W114" s="46" t="str">
        <f aca="false">IF($B114="","",IF($L114&lt;&gt;"청산",N(W113),IF($P114&lt;0,N(W113)+1,0)))</f>
        <v/>
      </c>
    </row>
    <row r="115" customFormat="false" ht="15" hidden="false" customHeight="false" outlineLevel="0" collapsed="false">
      <c r="A115" s="32" t="str">
        <f aca="false">IF($B115="","",ROW()-5)</f>
        <v/>
      </c>
      <c r="B115" s="48"/>
      <c r="C115" s="49"/>
      <c r="D115" s="50"/>
      <c r="E115" s="51"/>
      <c r="F115" s="52"/>
      <c r="G115" s="53"/>
      <c r="H115" s="50"/>
      <c r="I115" s="51"/>
      <c r="J115" s="53"/>
      <c r="K115" s="53"/>
      <c r="L115" s="39" t="str">
        <f aca="false">IF($B115="","",IF($H115="","보유중","청산"))</f>
        <v/>
      </c>
      <c r="M115" s="40" t="str">
        <f aca="false">IF($B115="","",$E115*$F115)</f>
        <v/>
      </c>
      <c r="N115" s="40" t="str">
        <f aca="false">IF($L115="청산",$I115*$F115,"")</f>
        <v/>
      </c>
      <c r="O115" s="40" t="str">
        <f aca="false">IF($B115="","",$G115+$J115+$K115)</f>
        <v/>
      </c>
      <c r="P115" s="41" t="str">
        <f aca="false">IF($L115="청산",$N115-$M115-$O115,"")</f>
        <v/>
      </c>
      <c r="Q115" s="42" t="str">
        <f aca="false">IF($L115="청산",IF($M115=0,"",$P115/$M115),"")</f>
        <v/>
      </c>
      <c r="R115" s="43" t="str">
        <f aca="true">IF($B115="","",IF($L115="청산",$H115-$D115,IF($D115="","",TODAY()-$D115)))</f>
        <v/>
      </c>
      <c r="S115" s="44" t="str">
        <f aca="false">IF($L115="청산",DATE(YEAR($H115),MONTH($H115),1),"")</f>
        <v/>
      </c>
      <c r="T115" s="48"/>
      <c r="U115" s="49"/>
      <c r="V115" s="46" t="str">
        <f aca="false">IF($B115="","",IF($L115&lt;&gt;"청산",N(V114),IF($P115&gt;0,N(V114)+1,0)))</f>
        <v/>
      </c>
      <c r="W115" s="46" t="str">
        <f aca="false">IF($B115="","",IF($L115&lt;&gt;"청산",N(W114),IF($P115&lt;0,N(W114)+1,0)))</f>
        <v/>
      </c>
    </row>
    <row r="116" customFormat="false" ht="15" hidden="false" customHeight="false" outlineLevel="0" collapsed="false">
      <c r="A116" s="32" t="str">
        <f aca="false">IF($B116="","",ROW()-5)</f>
        <v/>
      </c>
      <c r="B116" s="48"/>
      <c r="C116" s="49"/>
      <c r="D116" s="50"/>
      <c r="E116" s="51"/>
      <c r="F116" s="52"/>
      <c r="G116" s="53"/>
      <c r="H116" s="50"/>
      <c r="I116" s="51"/>
      <c r="J116" s="53"/>
      <c r="K116" s="53"/>
      <c r="L116" s="39" t="str">
        <f aca="false">IF($B116="","",IF($H116="","보유중","청산"))</f>
        <v/>
      </c>
      <c r="M116" s="40" t="str">
        <f aca="false">IF($B116="","",$E116*$F116)</f>
        <v/>
      </c>
      <c r="N116" s="40" t="str">
        <f aca="false">IF($L116="청산",$I116*$F116,"")</f>
        <v/>
      </c>
      <c r="O116" s="40" t="str">
        <f aca="false">IF($B116="","",$G116+$J116+$K116)</f>
        <v/>
      </c>
      <c r="P116" s="41" t="str">
        <f aca="false">IF($L116="청산",$N116-$M116-$O116,"")</f>
        <v/>
      </c>
      <c r="Q116" s="42" t="str">
        <f aca="false">IF($L116="청산",IF($M116=0,"",$P116/$M116),"")</f>
        <v/>
      </c>
      <c r="R116" s="43" t="str">
        <f aca="true">IF($B116="","",IF($L116="청산",$H116-$D116,IF($D116="","",TODAY()-$D116)))</f>
        <v/>
      </c>
      <c r="S116" s="44" t="str">
        <f aca="false">IF($L116="청산",DATE(YEAR($H116),MONTH($H116),1),"")</f>
        <v/>
      </c>
      <c r="T116" s="48"/>
      <c r="U116" s="49"/>
      <c r="V116" s="46" t="str">
        <f aca="false">IF($B116="","",IF($L116&lt;&gt;"청산",N(V115),IF($P116&gt;0,N(V115)+1,0)))</f>
        <v/>
      </c>
      <c r="W116" s="46" t="str">
        <f aca="false">IF($B116="","",IF($L116&lt;&gt;"청산",N(W115),IF($P116&lt;0,N(W115)+1,0)))</f>
        <v/>
      </c>
    </row>
    <row r="117" customFormat="false" ht="15" hidden="false" customHeight="false" outlineLevel="0" collapsed="false">
      <c r="A117" s="32" t="str">
        <f aca="false">IF($B117="","",ROW()-5)</f>
        <v/>
      </c>
      <c r="B117" s="48"/>
      <c r="C117" s="49"/>
      <c r="D117" s="50"/>
      <c r="E117" s="51"/>
      <c r="F117" s="52"/>
      <c r="G117" s="53"/>
      <c r="H117" s="50"/>
      <c r="I117" s="51"/>
      <c r="J117" s="53"/>
      <c r="K117" s="53"/>
      <c r="L117" s="39" t="str">
        <f aca="false">IF($B117="","",IF($H117="","보유중","청산"))</f>
        <v/>
      </c>
      <c r="M117" s="40" t="str">
        <f aca="false">IF($B117="","",$E117*$F117)</f>
        <v/>
      </c>
      <c r="N117" s="40" t="str">
        <f aca="false">IF($L117="청산",$I117*$F117,"")</f>
        <v/>
      </c>
      <c r="O117" s="40" t="str">
        <f aca="false">IF($B117="","",$G117+$J117+$K117)</f>
        <v/>
      </c>
      <c r="P117" s="41" t="str">
        <f aca="false">IF($L117="청산",$N117-$M117-$O117,"")</f>
        <v/>
      </c>
      <c r="Q117" s="42" t="str">
        <f aca="false">IF($L117="청산",IF($M117=0,"",$P117/$M117),"")</f>
        <v/>
      </c>
      <c r="R117" s="43" t="str">
        <f aca="true">IF($B117="","",IF($L117="청산",$H117-$D117,IF($D117="","",TODAY()-$D117)))</f>
        <v/>
      </c>
      <c r="S117" s="44" t="str">
        <f aca="false">IF($L117="청산",DATE(YEAR($H117),MONTH($H117),1),"")</f>
        <v/>
      </c>
      <c r="T117" s="48"/>
      <c r="U117" s="49"/>
      <c r="V117" s="46" t="str">
        <f aca="false">IF($B117="","",IF($L117&lt;&gt;"청산",N(V116),IF($P117&gt;0,N(V116)+1,0)))</f>
        <v/>
      </c>
      <c r="W117" s="46" t="str">
        <f aca="false">IF($B117="","",IF($L117&lt;&gt;"청산",N(W116),IF($P117&lt;0,N(W116)+1,0)))</f>
        <v/>
      </c>
    </row>
    <row r="118" customFormat="false" ht="15" hidden="false" customHeight="false" outlineLevel="0" collapsed="false">
      <c r="A118" s="32" t="str">
        <f aca="false">IF($B118="","",ROW()-5)</f>
        <v/>
      </c>
      <c r="B118" s="48"/>
      <c r="C118" s="49"/>
      <c r="D118" s="50"/>
      <c r="E118" s="51"/>
      <c r="F118" s="52"/>
      <c r="G118" s="53"/>
      <c r="H118" s="50"/>
      <c r="I118" s="51"/>
      <c r="J118" s="53"/>
      <c r="K118" s="53"/>
      <c r="L118" s="39" t="str">
        <f aca="false">IF($B118="","",IF($H118="","보유중","청산"))</f>
        <v/>
      </c>
      <c r="M118" s="40" t="str">
        <f aca="false">IF($B118="","",$E118*$F118)</f>
        <v/>
      </c>
      <c r="N118" s="40" t="str">
        <f aca="false">IF($L118="청산",$I118*$F118,"")</f>
        <v/>
      </c>
      <c r="O118" s="40" t="str">
        <f aca="false">IF($B118="","",$G118+$J118+$K118)</f>
        <v/>
      </c>
      <c r="P118" s="41" t="str">
        <f aca="false">IF($L118="청산",$N118-$M118-$O118,"")</f>
        <v/>
      </c>
      <c r="Q118" s="42" t="str">
        <f aca="false">IF($L118="청산",IF($M118=0,"",$P118/$M118),"")</f>
        <v/>
      </c>
      <c r="R118" s="43" t="str">
        <f aca="true">IF($B118="","",IF($L118="청산",$H118-$D118,IF($D118="","",TODAY()-$D118)))</f>
        <v/>
      </c>
      <c r="S118" s="44" t="str">
        <f aca="false">IF($L118="청산",DATE(YEAR($H118),MONTH($H118),1),"")</f>
        <v/>
      </c>
      <c r="T118" s="48"/>
      <c r="U118" s="49"/>
      <c r="V118" s="46" t="str">
        <f aca="false">IF($B118="","",IF($L118&lt;&gt;"청산",N(V117),IF($P118&gt;0,N(V117)+1,0)))</f>
        <v/>
      </c>
      <c r="W118" s="46" t="str">
        <f aca="false">IF($B118="","",IF($L118&lt;&gt;"청산",N(W117),IF($P118&lt;0,N(W117)+1,0)))</f>
        <v/>
      </c>
    </row>
    <row r="119" customFormat="false" ht="15" hidden="false" customHeight="false" outlineLevel="0" collapsed="false">
      <c r="A119" s="32" t="str">
        <f aca="false">IF($B119="","",ROW()-5)</f>
        <v/>
      </c>
      <c r="B119" s="48"/>
      <c r="C119" s="49"/>
      <c r="D119" s="50"/>
      <c r="E119" s="51"/>
      <c r="F119" s="52"/>
      <c r="G119" s="53"/>
      <c r="H119" s="50"/>
      <c r="I119" s="51"/>
      <c r="J119" s="53"/>
      <c r="K119" s="53"/>
      <c r="L119" s="39" t="str">
        <f aca="false">IF($B119="","",IF($H119="","보유중","청산"))</f>
        <v/>
      </c>
      <c r="M119" s="40" t="str">
        <f aca="false">IF($B119="","",$E119*$F119)</f>
        <v/>
      </c>
      <c r="N119" s="40" t="str">
        <f aca="false">IF($L119="청산",$I119*$F119,"")</f>
        <v/>
      </c>
      <c r="O119" s="40" t="str">
        <f aca="false">IF($B119="","",$G119+$J119+$K119)</f>
        <v/>
      </c>
      <c r="P119" s="41" t="str">
        <f aca="false">IF($L119="청산",$N119-$M119-$O119,"")</f>
        <v/>
      </c>
      <c r="Q119" s="42" t="str">
        <f aca="false">IF($L119="청산",IF($M119=0,"",$P119/$M119),"")</f>
        <v/>
      </c>
      <c r="R119" s="43" t="str">
        <f aca="true">IF($B119="","",IF($L119="청산",$H119-$D119,IF($D119="","",TODAY()-$D119)))</f>
        <v/>
      </c>
      <c r="S119" s="44" t="str">
        <f aca="false">IF($L119="청산",DATE(YEAR($H119),MONTH($H119),1),"")</f>
        <v/>
      </c>
      <c r="T119" s="48"/>
      <c r="U119" s="49"/>
      <c r="V119" s="46" t="str">
        <f aca="false">IF($B119="","",IF($L119&lt;&gt;"청산",N(V118),IF($P119&gt;0,N(V118)+1,0)))</f>
        <v/>
      </c>
      <c r="W119" s="46" t="str">
        <f aca="false">IF($B119="","",IF($L119&lt;&gt;"청산",N(W118),IF($P119&lt;0,N(W118)+1,0)))</f>
        <v/>
      </c>
    </row>
    <row r="120" customFormat="false" ht="15" hidden="false" customHeight="false" outlineLevel="0" collapsed="false">
      <c r="A120" s="32" t="str">
        <f aca="false">IF($B120="","",ROW()-5)</f>
        <v/>
      </c>
      <c r="B120" s="48"/>
      <c r="C120" s="49"/>
      <c r="D120" s="50"/>
      <c r="E120" s="51"/>
      <c r="F120" s="52"/>
      <c r="G120" s="53"/>
      <c r="H120" s="50"/>
      <c r="I120" s="51"/>
      <c r="J120" s="53"/>
      <c r="K120" s="53"/>
      <c r="L120" s="39" t="str">
        <f aca="false">IF($B120="","",IF($H120="","보유중","청산"))</f>
        <v/>
      </c>
      <c r="M120" s="40" t="str">
        <f aca="false">IF($B120="","",$E120*$F120)</f>
        <v/>
      </c>
      <c r="N120" s="40" t="str">
        <f aca="false">IF($L120="청산",$I120*$F120,"")</f>
        <v/>
      </c>
      <c r="O120" s="40" t="str">
        <f aca="false">IF($B120="","",$G120+$J120+$K120)</f>
        <v/>
      </c>
      <c r="P120" s="41" t="str">
        <f aca="false">IF($L120="청산",$N120-$M120-$O120,"")</f>
        <v/>
      </c>
      <c r="Q120" s="42" t="str">
        <f aca="false">IF($L120="청산",IF($M120=0,"",$P120/$M120),"")</f>
        <v/>
      </c>
      <c r="R120" s="43" t="str">
        <f aca="true">IF($B120="","",IF($L120="청산",$H120-$D120,IF($D120="","",TODAY()-$D120)))</f>
        <v/>
      </c>
      <c r="S120" s="44" t="str">
        <f aca="false">IF($L120="청산",DATE(YEAR($H120),MONTH($H120),1),"")</f>
        <v/>
      </c>
      <c r="T120" s="48"/>
      <c r="U120" s="49"/>
      <c r="V120" s="46" t="str">
        <f aca="false">IF($B120="","",IF($L120&lt;&gt;"청산",N(V119),IF($P120&gt;0,N(V119)+1,0)))</f>
        <v/>
      </c>
      <c r="W120" s="46" t="str">
        <f aca="false">IF($B120="","",IF($L120&lt;&gt;"청산",N(W119),IF($P120&lt;0,N(W119)+1,0)))</f>
        <v/>
      </c>
    </row>
    <row r="121" customFormat="false" ht="15" hidden="false" customHeight="false" outlineLevel="0" collapsed="false">
      <c r="A121" s="32" t="str">
        <f aca="false">IF($B121="","",ROW()-5)</f>
        <v/>
      </c>
      <c r="B121" s="48"/>
      <c r="C121" s="49"/>
      <c r="D121" s="50"/>
      <c r="E121" s="51"/>
      <c r="F121" s="52"/>
      <c r="G121" s="53"/>
      <c r="H121" s="50"/>
      <c r="I121" s="51"/>
      <c r="J121" s="53"/>
      <c r="K121" s="53"/>
      <c r="L121" s="39" t="str">
        <f aca="false">IF($B121="","",IF($H121="","보유중","청산"))</f>
        <v/>
      </c>
      <c r="M121" s="40" t="str">
        <f aca="false">IF($B121="","",$E121*$F121)</f>
        <v/>
      </c>
      <c r="N121" s="40" t="str">
        <f aca="false">IF($L121="청산",$I121*$F121,"")</f>
        <v/>
      </c>
      <c r="O121" s="40" t="str">
        <f aca="false">IF($B121="","",$G121+$J121+$K121)</f>
        <v/>
      </c>
      <c r="P121" s="41" t="str">
        <f aca="false">IF($L121="청산",$N121-$M121-$O121,"")</f>
        <v/>
      </c>
      <c r="Q121" s="42" t="str">
        <f aca="false">IF($L121="청산",IF($M121=0,"",$P121/$M121),"")</f>
        <v/>
      </c>
      <c r="R121" s="43" t="str">
        <f aca="true">IF($B121="","",IF($L121="청산",$H121-$D121,IF($D121="","",TODAY()-$D121)))</f>
        <v/>
      </c>
      <c r="S121" s="44" t="str">
        <f aca="false">IF($L121="청산",DATE(YEAR($H121),MONTH($H121),1),"")</f>
        <v/>
      </c>
      <c r="T121" s="48"/>
      <c r="U121" s="49"/>
      <c r="V121" s="46" t="str">
        <f aca="false">IF($B121="","",IF($L121&lt;&gt;"청산",N(V120),IF($P121&gt;0,N(V120)+1,0)))</f>
        <v/>
      </c>
      <c r="W121" s="46" t="str">
        <f aca="false">IF($B121="","",IF($L121&lt;&gt;"청산",N(W120),IF($P121&lt;0,N(W120)+1,0)))</f>
        <v/>
      </c>
    </row>
    <row r="122" customFormat="false" ht="15" hidden="false" customHeight="false" outlineLevel="0" collapsed="false">
      <c r="A122" s="32" t="str">
        <f aca="false">IF($B122="","",ROW()-5)</f>
        <v/>
      </c>
      <c r="B122" s="48"/>
      <c r="C122" s="49"/>
      <c r="D122" s="50"/>
      <c r="E122" s="51"/>
      <c r="F122" s="52"/>
      <c r="G122" s="53"/>
      <c r="H122" s="50"/>
      <c r="I122" s="51"/>
      <c r="J122" s="53"/>
      <c r="K122" s="53"/>
      <c r="L122" s="39" t="str">
        <f aca="false">IF($B122="","",IF($H122="","보유중","청산"))</f>
        <v/>
      </c>
      <c r="M122" s="40" t="str">
        <f aca="false">IF($B122="","",$E122*$F122)</f>
        <v/>
      </c>
      <c r="N122" s="40" t="str">
        <f aca="false">IF($L122="청산",$I122*$F122,"")</f>
        <v/>
      </c>
      <c r="O122" s="40" t="str">
        <f aca="false">IF($B122="","",$G122+$J122+$K122)</f>
        <v/>
      </c>
      <c r="P122" s="41" t="str">
        <f aca="false">IF($L122="청산",$N122-$M122-$O122,"")</f>
        <v/>
      </c>
      <c r="Q122" s="42" t="str">
        <f aca="false">IF($L122="청산",IF($M122=0,"",$P122/$M122),"")</f>
        <v/>
      </c>
      <c r="R122" s="43" t="str">
        <f aca="true">IF($B122="","",IF($L122="청산",$H122-$D122,IF($D122="","",TODAY()-$D122)))</f>
        <v/>
      </c>
      <c r="S122" s="44" t="str">
        <f aca="false">IF($L122="청산",DATE(YEAR($H122),MONTH($H122),1),"")</f>
        <v/>
      </c>
      <c r="T122" s="48"/>
      <c r="U122" s="49"/>
      <c r="V122" s="46" t="str">
        <f aca="false">IF($B122="","",IF($L122&lt;&gt;"청산",N(V121),IF($P122&gt;0,N(V121)+1,0)))</f>
        <v/>
      </c>
      <c r="W122" s="46" t="str">
        <f aca="false">IF($B122="","",IF($L122&lt;&gt;"청산",N(W121),IF($P122&lt;0,N(W121)+1,0)))</f>
        <v/>
      </c>
    </row>
    <row r="123" customFormat="false" ht="15" hidden="false" customHeight="false" outlineLevel="0" collapsed="false">
      <c r="A123" s="32" t="str">
        <f aca="false">IF($B123="","",ROW()-5)</f>
        <v/>
      </c>
      <c r="B123" s="48"/>
      <c r="C123" s="49"/>
      <c r="D123" s="50"/>
      <c r="E123" s="51"/>
      <c r="F123" s="52"/>
      <c r="G123" s="53"/>
      <c r="H123" s="50"/>
      <c r="I123" s="51"/>
      <c r="J123" s="53"/>
      <c r="K123" s="53"/>
      <c r="L123" s="39" t="str">
        <f aca="false">IF($B123="","",IF($H123="","보유중","청산"))</f>
        <v/>
      </c>
      <c r="M123" s="40" t="str">
        <f aca="false">IF($B123="","",$E123*$F123)</f>
        <v/>
      </c>
      <c r="N123" s="40" t="str">
        <f aca="false">IF($L123="청산",$I123*$F123,"")</f>
        <v/>
      </c>
      <c r="O123" s="40" t="str">
        <f aca="false">IF($B123="","",$G123+$J123+$K123)</f>
        <v/>
      </c>
      <c r="P123" s="41" t="str">
        <f aca="false">IF($L123="청산",$N123-$M123-$O123,"")</f>
        <v/>
      </c>
      <c r="Q123" s="42" t="str">
        <f aca="false">IF($L123="청산",IF($M123=0,"",$P123/$M123),"")</f>
        <v/>
      </c>
      <c r="R123" s="43" t="str">
        <f aca="true">IF($B123="","",IF($L123="청산",$H123-$D123,IF($D123="","",TODAY()-$D123)))</f>
        <v/>
      </c>
      <c r="S123" s="44" t="str">
        <f aca="false">IF($L123="청산",DATE(YEAR($H123),MONTH($H123),1),"")</f>
        <v/>
      </c>
      <c r="T123" s="48"/>
      <c r="U123" s="49"/>
      <c r="V123" s="46" t="str">
        <f aca="false">IF($B123="","",IF($L123&lt;&gt;"청산",N(V122),IF($P123&gt;0,N(V122)+1,0)))</f>
        <v/>
      </c>
      <c r="W123" s="46" t="str">
        <f aca="false">IF($B123="","",IF($L123&lt;&gt;"청산",N(W122),IF($P123&lt;0,N(W122)+1,0)))</f>
        <v/>
      </c>
    </row>
    <row r="124" customFormat="false" ht="15" hidden="false" customHeight="false" outlineLevel="0" collapsed="false">
      <c r="A124" s="32" t="str">
        <f aca="false">IF($B124="","",ROW()-5)</f>
        <v/>
      </c>
      <c r="B124" s="48"/>
      <c r="C124" s="49"/>
      <c r="D124" s="50"/>
      <c r="E124" s="51"/>
      <c r="F124" s="52"/>
      <c r="G124" s="53"/>
      <c r="H124" s="50"/>
      <c r="I124" s="51"/>
      <c r="J124" s="53"/>
      <c r="K124" s="53"/>
      <c r="L124" s="39" t="str">
        <f aca="false">IF($B124="","",IF($H124="","보유중","청산"))</f>
        <v/>
      </c>
      <c r="M124" s="40" t="str">
        <f aca="false">IF($B124="","",$E124*$F124)</f>
        <v/>
      </c>
      <c r="N124" s="40" t="str">
        <f aca="false">IF($L124="청산",$I124*$F124,"")</f>
        <v/>
      </c>
      <c r="O124" s="40" t="str">
        <f aca="false">IF($B124="","",$G124+$J124+$K124)</f>
        <v/>
      </c>
      <c r="P124" s="41" t="str">
        <f aca="false">IF($L124="청산",$N124-$M124-$O124,"")</f>
        <v/>
      </c>
      <c r="Q124" s="42" t="str">
        <f aca="false">IF($L124="청산",IF($M124=0,"",$P124/$M124),"")</f>
        <v/>
      </c>
      <c r="R124" s="43" t="str">
        <f aca="true">IF($B124="","",IF($L124="청산",$H124-$D124,IF($D124="","",TODAY()-$D124)))</f>
        <v/>
      </c>
      <c r="S124" s="44" t="str">
        <f aca="false">IF($L124="청산",DATE(YEAR($H124),MONTH($H124),1),"")</f>
        <v/>
      </c>
      <c r="T124" s="48"/>
      <c r="U124" s="49"/>
      <c r="V124" s="46" t="str">
        <f aca="false">IF($B124="","",IF($L124&lt;&gt;"청산",N(V123),IF($P124&gt;0,N(V123)+1,0)))</f>
        <v/>
      </c>
      <c r="W124" s="46" t="str">
        <f aca="false">IF($B124="","",IF($L124&lt;&gt;"청산",N(W123),IF($P124&lt;0,N(W123)+1,0)))</f>
        <v/>
      </c>
    </row>
    <row r="125" customFormat="false" ht="15" hidden="false" customHeight="false" outlineLevel="0" collapsed="false">
      <c r="A125" s="32" t="str">
        <f aca="false">IF($B125="","",ROW()-5)</f>
        <v/>
      </c>
      <c r="B125" s="48"/>
      <c r="C125" s="49"/>
      <c r="D125" s="50"/>
      <c r="E125" s="51"/>
      <c r="F125" s="52"/>
      <c r="G125" s="53"/>
      <c r="H125" s="50"/>
      <c r="I125" s="51"/>
      <c r="J125" s="53"/>
      <c r="K125" s="53"/>
      <c r="L125" s="39" t="str">
        <f aca="false">IF($B125="","",IF($H125="","보유중","청산"))</f>
        <v/>
      </c>
      <c r="M125" s="40" t="str">
        <f aca="false">IF($B125="","",$E125*$F125)</f>
        <v/>
      </c>
      <c r="N125" s="40" t="str">
        <f aca="false">IF($L125="청산",$I125*$F125,"")</f>
        <v/>
      </c>
      <c r="O125" s="40" t="str">
        <f aca="false">IF($B125="","",$G125+$J125+$K125)</f>
        <v/>
      </c>
      <c r="P125" s="41" t="str">
        <f aca="false">IF($L125="청산",$N125-$M125-$O125,"")</f>
        <v/>
      </c>
      <c r="Q125" s="42" t="str">
        <f aca="false">IF($L125="청산",IF($M125=0,"",$P125/$M125),"")</f>
        <v/>
      </c>
      <c r="R125" s="43" t="str">
        <f aca="true">IF($B125="","",IF($L125="청산",$H125-$D125,IF($D125="","",TODAY()-$D125)))</f>
        <v/>
      </c>
      <c r="S125" s="44" t="str">
        <f aca="false">IF($L125="청산",DATE(YEAR($H125),MONTH($H125),1),"")</f>
        <v/>
      </c>
      <c r="T125" s="48"/>
      <c r="U125" s="49"/>
      <c r="V125" s="46" t="str">
        <f aca="false">IF($B125="","",IF($L125&lt;&gt;"청산",N(V124),IF($P125&gt;0,N(V124)+1,0)))</f>
        <v/>
      </c>
      <c r="W125" s="46" t="str">
        <f aca="false">IF($B125="","",IF($L125&lt;&gt;"청산",N(W124),IF($P125&lt;0,N(W124)+1,0)))</f>
        <v/>
      </c>
    </row>
    <row r="126" customFormat="false" ht="15" hidden="false" customHeight="false" outlineLevel="0" collapsed="false">
      <c r="A126" s="32" t="str">
        <f aca="false">IF($B126="","",ROW()-5)</f>
        <v/>
      </c>
      <c r="B126" s="48"/>
      <c r="C126" s="49"/>
      <c r="D126" s="50"/>
      <c r="E126" s="51"/>
      <c r="F126" s="52"/>
      <c r="G126" s="53"/>
      <c r="H126" s="50"/>
      <c r="I126" s="51"/>
      <c r="J126" s="53"/>
      <c r="K126" s="53"/>
      <c r="L126" s="39" t="str">
        <f aca="false">IF($B126="","",IF($H126="","보유중","청산"))</f>
        <v/>
      </c>
      <c r="M126" s="40" t="str">
        <f aca="false">IF($B126="","",$E126*$F126)</f>
        <v/>
      </c>
      <c r="N126" s="40" t="str">
        <f aca="false">IF($L126="청산",$I126*$F126,"")</f>
        <v/>
      </c>
      <c r="O126" s="40" t="str">
        <f aca="false">IF($B126="","",$G126+$J126+$K126)</f>
        <v/>
      </c>
      <c r="P126" s="41" t="str">
        <f aca="false">IF($L126="청산",$N126-$M126-$O126,"")</f>
        <v/>
      </c>
      <c r="Q126" s="42" t="str">
        <f aca="false">IF($L126="청산",IF($M126=0,"",$P126/$M126),"")</f>
        <v/>
      </c>
      <c r="R126" s="43" t="str">
        <f aca="true">IF($B126="","",IF($L126="청산",$H126-$D126,IF($D126="","",TODAY()-$D126)))</f>
        <v/>
      </c>
      <c r="S126" s="44" t="str">
        <f aca="false">IF($L126="청산",DATE(YEAR($H126),MONTH($H126),1),"")</f>
        <v/>
      </c>
      <c r="T126" s="48"/>
      <c r="U126" s="49"/>
      <c r="V126" s="46" t="str">
        <f aca="false">IF($B126="","",IF($L126&lt;&gt;"청산",N(V125),IF($P126&gt;0,N(V125)+1,0)))</f>
        <v/>
      </c>
      <c r="W126" s="46" t="str">
        <f aca="false">IF($B126="","",IF($L126&lt;&gt;"청산",N(W125),IF($P126&lt;0,N(W125)+1,0)))</f>
        <v/>
      </c>
    </row>
    <row r="127" customFormat="false" ht="15" hidden="false" customHeight="false" outlineLevel="0" collapsed="false">
      <c r="A127" s="32" t="str">
        <f aca="false">IF($B127="","",ROW()-5)</f>
        <v/>
      </c>
      <c r="B127" s="48"/>
      <c r="C127" s="49"/>
      <c r="D127" s="50"/>
      <c r="E127" s="51"/>
      <c r="F127" s="52"/>
      <c r="G127" s="53"/>
      <c r="H127" s="50"/>
      <c r="I127" s="51"/>
      <c r="J127" s="53"/>
      <c r="K127" s="53"/>
      <c r="L127" s="39" t="str">
        <f aca="false">IF($B127="","",IF($H127="","보유중","청산"))</f>
        <v/>
      </c>
      <c r="M127" s="40" t="str">
        <f aca="false">IF($B127="","",$E127*$F127)</f>
        <v/>
      </c>
      <c r="N127" s="40" t="str">
        <f aca="false">IF($L127="청산",$I127*$F127,"")</f>
        <v/>
      </c>
      <c r="O127" s="40" t="str">
        <f aca="false">IF($B127="","",$G127+$J127+$K127)</f>
        <v/>
      </c>
      <c r="P127" s="41" t="str">
        <f aca="false">IF($L127="청산",$N127-$M127-$O127,"")</f>
        <v/>
      </c>
      <c r="Q127" s="42" t="str">
        <f aca="false">IF($L127="청산",IF($M127=0,"",$P127/$M127),"")</f>
        <v/>
      </c>
      <c r="R127" s="43" t="str">
        <f aca="true">IF($B127="","",IF($L127="청산",$H127-$D127,IF($D127="","",TODAY()-$D127)))</f>
        <v/>
      </c>
      <c r="S127" s="44" t="str">
        <f aca="false">IF($L127="청산",DATE(YEAR($H127),MONTH($H127),1),"")</f>
        <v/>
      </c>
      <c r="T127" s="48"/>
      <c r="U127" s="49"/>
      <c r="V127" s="46" t="str">
        <f aca="false">IF($B127="","",IF($L127&lt;&gt;"청산",N(V126),IF($P127&gt;0,N(V126)+1,0)))</f>
        <v/>
      </c>
      <c r="W127" s="46" t="str">
        <f aca="false">IF($B127="","",IF($L127&lt;&gt;"청산",N(W126),IF($P127&lt;0,N(W126)+1,0)))</f>
        <v/>
      </c>
    </row>
    <row r="128" customFormat="false" ht="15" hidden="false" customHeight="false" outlineLevel="0" collapsed="false">
      <c r="A128" s="32" t="str">
        <f aca="false">IF($B128="","",ROW()-5)</f>
        <v/>
      </c>
      <c r="B128" s="48"/>
      <c r="C128" s="49"/>
      <c r="D128" s="50"/>
      <c r="E128" s="51"/>
      <c r="F128" s="52"/>
      <c r="G128" s="53"/>
      <c r="H128" s="50"/>
      <c r="I128" s="51"/>
      <c r="J128" s="53"/>
      <c r="K128" s="53"/>
      <c r="L128" s="39" t="str">
        <f aca="false">IF($B128="","",IF($H128="","보유중","청산"))</f>
        <v/>
      </c>
      <c r="M128" s="40" t="str">
        <f aca="false">IF($B128="","",$E128*$F128)</f>
        <v/>
      </c>
      <c r="N128" s="40" t="str">
        <f aca="false">IF($L128="청산",$I128*$F128,"")</f>
        <v/>
      </c>
      <c r="O128" s="40" t="str">
        <f aca="false">IF($B128="","",$G128+$J128+$K128)</f>
        <v/>
      </c>
      <c r="P128" s="41" t="str">
        <f aca="false">IF($L128="청산",$N128-$M128-$O128,"")</f>
        <v/>
      </c>
      <c r="Q128" s="42" t="str">
        <f aca="false">IF($L128="청산",IF($M128=0,"",$P128/$M128),"")</f>
        <v/>
      </c>
      <c r="R128" s="43" t="str">
        <f aca="true">IF($B128="","",IF($L128="청산",$H128-$D128,IF($D128="","",TODAY()-$D128)))</f>
        <v/>
      </c>
      <c r="S128" s="44" t="str">
        <f aca="false">IF($L128="청산",DATE(YEAR($H128),MONTH($H128),1),"")</f>
        <v/>
      </c>
      <c r="T128" s="48"/>
      <c r="U128" s="49"/>
      <c r="V128" s="46" t="str">
        <f aca="false">IF($B128="","",IF($L128&lt;&gt;"청산",N(V127),IF($P128&gt;0,N(V127)+1,0)))</f>
        <v/>
      </c>
      <c r="W128" s="46" t="str">
        <f aca="false">IF($B128="","",IF($L128&lt;&gt;"청산",N(W127),IF($P128&lt;0,N(W127)+1,0)))</f>
        <v/>
      </c>
    </row>
    <row r="129" customFormat="false" ht="15" hidden="false" customHeight="false" outlineLevel="0" collapsed="false">
      <c r="A129" s="32" t="str">
        <f aca="false">IF($B129="","",ROW()-5)</f>
        <v/>
      </c>
      <c r="B129" s="48"/>
      <c r="C129" s="49"/>
      <c r="D129" s="50"/>
      <c r="E129" s="51"/>
      <c r="F129" s="52"/>
      <c r="G129" s="53"/>
      <c r="H129" s="50"/>
      <c r="I129" s="51"/>
      <c r="J129" s="53"/>
      <c r="K129" s="53"/>
      <c r="L129" s="39" t="str">
        <f aca="false">IF($B129="","",IF($H129="","보유중","청산"))</f>
        <v/>
      </c>
      <c r="M129" s="40" t="str">
        <f aca="false">IF($B129="","",$E129*$F129)</f>
        <v/>
      </c>
      <c r="N129" s="40" t="str">
        <f aca="false">IF($L129="청산",$I129*$F129,"")</f>
        <v/>
      </c>
      <c r="O129" s="40" t="str">
        <f aca="false">IF($B129="","",$G129+$J129+$K129)</f>
        <v/>
      </c>
      <c r="P129" s="41" t="str">
        <f aca="false">IF($L129="청산",$N129-$M129-$O129,"")</f>
        <v/>
      </c>
      <c r="Q129" s="42" t="str">
        <f aca="false">IF($L129="청산",IF($M129=0,"",$P129/$M129),"")</f>
        <v/>
      </c>
      <c r="R129" s="43" t="str">
        <f aca="true">IF($B129="","",IF($L129="청산",$H129-$D129,IF($D129="","",TODAY()-$D129)))</f>
        <v/>
      </c>
      <c r="S129" s="44" t="str">
        <f aca="false">IF($L129="청산",DATE(YEAR($H129),MONTH($H129),1),"")</f>
        <v/>
      </c>
      <c r="T129" s="48"/>
      <c r="U129" s="49"/>
      <c r="V129" s="46" t="str">
        <f aca="false">IF($B129="","",IF($L129&lt;&gt;"청산",N(V128),IF($P129&gt;0,N(V128)+1,0)))</f>
        <v/>
      </c>
      <c r="W129" s="46" t="str">
        <f aca="false">IF($B129="","",IF($L129&lt;&gt;"청산",N(W128),IF($P129&lt;0,N(W128)+1,0)))</f>
        <v/>
      </c>
    </row>
    <row r="130" customFormat="false" ht="15" hidden="false" customHeight="false" outlineLevel="0" collapsed="false">
      <c r="A130" s="32" t="str">
        <f aca="false">IF($B130="","",ROW()-5)</f>
        <v/>
      </c>
      <c r="B130" s="48"/>
      <c r="C130" s="49"/>
      <c r="D130" s="50"/>
      <c r="E130" s="51"/>
      <c r="F130" s="52"/>
      <c r="G130" s="53"/>
      <c r="H130" s="50"/>
      <c r="I130" s="51"/>
      <c r="J130" s="53"/>
      <c r="K130" s="53"/>
      <c r="L130" s="39" t="str">
        <f aca="false">IF($B130="","",IF($H130="","보유중","청산"))</f>
        <v/>
      </c>
      <c r="M130" s="40" t="str">
        <f aca="false">IF($B130="","",$E130*$F130)</f>
        <v/>
      </c>
      <c r="N130" s="40" t="str">
        <f aca="false">IF($L130="청산",$I130*$F130,"")</f>
        <v/>
      </c>
      <c r="O130" s="40" t="str">
        <f aca="false">IF($B130="","",$G130+$J130+$K130)</f>
        <v/>
      </c>
      <c r="P130" s="41" t="str">
        <f aca="false">IF($L130="청산",$N130-$M130-$O130,"")</f>
        <v/>
      </c>
      <c r="Q130" s="42" t="str">
        <f aca="false">IF($L130="청산",IF($M130=0,"",$P130/$M130),"")</f>
        <v/>
      </c>
      <c r="R130" s="43" t="str">
        <f aca="true">IF($B130="","",IF($L130="청산",$H130-$D130,IF($D130="","",TODAY()-$D130)))</f>
        <v/>
      </c>
      <c r="S130" s="44" t="str">
        <f aca="false">IF($L130="청산",DATE(YEAR($H130),MONTH($H130),1),"")</f>
        <v/>
      </c>
      <c r="T130" s="48"/>
      <c r="U130" s="49"/>
      <c r="V130" s="46" t="str">
        <f aca="false">IF($B130="","",IF($L130&lt;&gt;"청산",N(V129),IF($P130&gt;0,N(V129)+1,0)))</f>
        <v/>
      </c>
      <c r="W130" s="46" t="str">
        <f aca="false">IF($B130="","",IF($L130&lt;&gt;"청산",N(W129),IF($P130&lt;0,N(W129)+1,0)))</f>
        <v/>
      </c>
    </row>
    <row r="131" customFormat="false" ht="15" hidden="false" customHeight="false" outlineLevel="0" collapsed="false">
      <c r="A131" s="32" t="str">
        <f aca="false">IF($B131="","",ROW()-5)</f>
        <v/>
      </c>
      <c r="B131" s="48"/>
      <c r="C131" s="49"/>
      <c r="D131" s="50"/>
      <c r="E131" s="51"/>
      <c r="F131" s="52"/>
      <c r="G131" s="53"/>
      <c r="H131" s="50"/>
      <c r="I131" s="51"/>
      <c r="J131" s="53"/>
      <c r="K131" s="53"/>
      <c r="L131" s="39" t="str">
        <f aca="false">IF($B131="","",IF($H131="","보유중","청산"))</f>
        <v/>
      </c>
      <c r="M131" s="40" t="str">
        <f aca="false">IF($B131="","",$E131*$F131)</f>
        <v/>
      </c>
      <c r="N131" s="40" t="str">
        <f aca="false">IF($L131="청산",$I131*$F131,"")</f>
        <v/>
      </c>
      <c r="O131" s="40" t="str">
        <f aca="false">IF($B131="","",$G131+$J131+$K131)</f>
        <v/>
      </c>
      <c r="P131" s="41" t="str">
        <f aca="false">IF($L131="청산",$N131-$M131-$O131,"")</f>
        <v/>
      </c>
      <c r="Q131" s="42" t="str">
        <f aca="false">IF($L131="청산",IF($M131=0,"",$P131/$M131),"")</f>
        <v/>
      </c>
      <c r="R131" s="43" t="str">
        <f aca="true">IF($B131="","",IF($L131="청산",$H131-$D131,IF($D131="","",TODAY()-$D131)))</f>
        <v/>
      </c>
      <c r="S131" s="44" t="str">
        <f aca="false">IF($L131="청산",DATE(YEAR($H131),MONTH($H131),1),"")</f>
        <v/>
      </c>
      <c r="T131" s="48"/>
      <c r="U131" s="49"/>
      <c r="V131" s="46" t="str">
        <f aca="false">IF($B131="","",IF($L131&lt;&gt;"청산",N(V130),IF($P131&gt;0,N(V130)+1,0)))</f>
        <v/>
      </c>
      <c r="W131" s="46" t="str">
        <f aca="false">IF($B131="","",IF($L131&lt;&gt;"청산",N(W130),IF($P131&lt;0,N(W130)+1,0)))</f>
        <v/>
      </c>
    </row>
    <row r="132" customFormat="false" ht="15" hidden="false" customHeight="false" outlineLevel="0" collapsed="false">
      <c r="A132" s="32" t="str">
        <f aca="false">IF($B132="","",ROW()-5)</f>
        <v/>
      </c>
      <c r="B132" s="48"/>
      <c r="C132" s="49"/>
      <c r="D132" s="50"/>
      <c r="E132" s="51"/>
      <c r="F132" s="52"/>
      <c r="G132" s="53"/>
      <c r="H132" s="50"/>
      <c r="I132" s="51"/>
      <c r="J132" s="53"/>
      <c r="K132" s="53"/>
      <c r="L132" s="39" t="str">
        <f aca="false">IF($B132="","",IF($H132="","보유중","청산"))</f>
        <v/>
      </c>
      <c r="M132" s="40" t="str">
        <f aca="false">IF($B132="","",$E132*$F132)</f>
        <v/>
      </c>
      <c r="N132" s="40" t="str">
        <f aca="false">IF($L132="청산",$I132*$F132,"")</f>
        <v/>
      </c>
      <c r="O132" s="40" t="str">
        <f aca="false">IF($B132="","",$G132+$J132+$K132)</f>
        <v/>
      </c>
      <c r="P132" s="41" t="str">
        <f aca="false">IF($L132="청산",$N132-$M132-$O132,"")</f>
        <v/>
      </c>
      <c r="Q132" s="42" t="str">
        <f aca="false">IF($L132="청산",IF($M132=0,"",$P132/$M132),"")</f>
        <v/>
      </c>
      <c r="R132" s="43" t="str">
        <f aca="true">IF($B132="","",IF($L132="청산",$H132-$D132,IF($D132="","",TODAY()-$D132)))</f>
        <v/>
      </c>
      <c r="S132" s="44" t="str">
        <f aca="false">IF($L132="청산",DATE(YEAR($H132),MONTH($H132),1),"")</f>
        <v/>
      </c>
      <c r="T132" s="48"/>
      <c r="U132" s="49"/>
      <c r="V132" s="46" t="str">
        <f aca="false">IF($B132="","",IF($L132&lt;&gt;"청산",N(V131),IF($P132&gt;0,N(V131)+1,0)))</f>
        <v/>
      </c>
      <c r="W132" s="46" t="str">
        <f aca="false">IF($B132="","",IF($L132&lt;&gt;"청산",N(W131),IF($P132&lt;0,N(W131)+1,0)))</f>
        <v/>
      </c>
    </row>
    <row r="133" customFormat="false" ht="15" hidden="false" customHeight="false" outlineLevel="0" collapsed="false">
      <c r="A133" s="32" t="str">
        <f aca="false">IF($B133="","",ROW()-5)</f>
        <v/>
      </c>
      <c r="B133" s="48"/>
      <c r="C133" s="49"/>
      <c r="D133" s="50"/>
      <c r="E133" s="51"/>
      <c r="F133" s="52"/>
      <c r="G133" s="53"/>
      <c r="H133" s="50"/>
      <c r="I133" s="51"/>
      <c r="J133" s="53"/>
      <c r="K133" s="53"/>
      <c r="L133" s="39" t="str">
        <f aca="false">IF($B133="","",IF($H133="","보유중","청산"))</f>
        <v/>
      </c>
      <c r="M133" s="40" t="str">
        <f aca="false">IF($B133="","",$E133*$F133)</f>
        <v/>
      </c>
      <c r="N133" s="40" t="str">
        <f aca="false">IF($L133="청산",$I133*$F133,"")</f>
        <v/>
      </c>
      <c r="O133" s="40" t="str">
        <f aca="false">IF($B133="","",$G133+$J133+$K133)</f>
        <v/>
      </c>
      <c r="P133" s="41" t="str">
        <f aca="false">IF($L133="청산",$N133-$M133-$O133,"")</f>
        <v/>
      </c>
      <c r="Q133" s="42" t="str">
        <f aca="false">IF($L133="청산",IF($M133=0,"",$P133/$M133),"")</f>
        <v/>
      </c>
      <c r="R133" s="43" t="str">
        <f aca="true">IF($B133="","",IF($L133="청산",$H133-$D133,IF($D133="","",TODAY()-$D133)))</f>
        <v/>
      </c>
      <c r="S133" s="44" t="str">
        <f aca="false">IF($L133="청산",DATE(YEAR($H133),MONTH($H133),1),"")</f>
        <v/>
      </c>
      <c r="T133" s="48"/>
      <c r="U133" s="49"/>
      <c r="V133" s="46" t="str">
        <f aca="false">IF($B133="","",IF($L133&lt;&gt;"청산",N(V132),IF($P133&gt;0,N(V132)+1,0)))</f>
        <v/>
      </c>
      <c r="W133" s="46" t="str">
        <f aca="false">IF($B133="","",IF($L133&lt;&gt;"청산",N(W132),IF($P133&lt;0,N(W132)+1,0)))</f>
        <v/>
      </c>
    </row>
    <row r="134" customFormat="false" ht="15" hidden="false" customHeight="false" outlineLevel="0" collapsed="false">
      <c r="A134" s="32" t="str">
        <f aca="false">IF($B134="","",ROW()-5)</f>
        <v/>
      </c>
      <c r="B134" s="48"/>
      <c r="C134" s="49"/>
      <c r="D134" s="50"/>
      <c r="E134" s="51"/>
      <c r="F134" s="52"/>
      <c r="G134" s="53"/>
      <c r="H134" s="50"/>
      <c r="I134" s="51"/>
      <c r="J134" s="53"/>
      <c r="K134" s="53"/>
      <c r="L134" s="39" t="str">
        <f aca="false">IF($B134="","",IF($H134="","보유중","청산"))</f>
        <v/>
      </c>
      <c r="M134" s="40" t="str">
        <f aca="false">IF($B134="","",$E134*$F134)</f>
        <v/>
      </c>
      <c r="N134" s="40" t="str">
        <f aca="false">IF($L134="청산",$I134*$F134,"")</f>
        <v/>
      </c>
      <c r="O134" s="40" t="str">
        <f aca="false">IF($B134="","",$G134+$J134+$K134)</f>
        <v/>
      </c>
      <c r="P134" s="41" t="str">
        <f aca="false">IF($L134="청산",$N134-$M134-$O134,"")</f>
        <v/>
      </c>
      <c r="Q134" s="42" t="str">
        <f aca="false">IF($L134="청산",IF($M134=0,"",$P134/$M134),"")</f>
        <v/>
      </c>
      <c r="R134" s="43" t="str">
        <f aca="true">IF($B134="","",IF($L134="청산",$H134-$D134,IF($D134="","",TODAY()-$D134)))</f>
        <v/>
      </c>
      <c r="S134" s="44" t="str">
        <f aca="false">IF($L134="청산",DATE(YEAR($H134),MONTH($H134),1),"")</f>
        <v/>
      </c>
      <c r="T134" s="48"/>
      <c r="U134" s="49"/>
      <c r="V134" s="46" t="str">
        <f aca="false">IF($B134="","",IF($L134&lt;&gt;"청산",N(V133),IF($P134&gt;0,N(V133)+1,0)))</f>
        <v/>
      </c>
      <c r="W134" s="46" t="str">
        <f aca="false">IF($B134="","",IF($L134&lt;&gt;"청산",N(W133),IF($P134&lt;0,N(W133)+1,0)))</f>
        <v/>
      </c>
    </row>
    <row r="135" customFormat="false" ht="15" hidden="false" customHeight="false" outlineLevel="0" collapsed="false">
      <c r="A135" s="32" t="str">
        <f aca="false">IF($B135="","",ROW()-5)</f>
        <v/>
      </c>
      <c r="B135" s="48"/>
      <c r="C135" s="49"/>
      <c r="D135" s="50"/>
      <c r="E135" s="51"/>
      <c r="F135" s="52"/>
      <c r="G135" s="53"/>
      <c r="H135" s="50"/>
      <c r="I135" s="51"/>
      <c r="J135" s="53"/>
      <c r="K135" s="53"/>
      <c r="L135" s="39" t="str">
        <f aca="false">IF($B135="","",IF($H135="","보유중","청산"))</f>
        <v/>
      </c>
      <c r="M135" s="40" t="str">
        <f aca="false">IF($B135="","",$E135*$F135)</f>
        <v/>
      </c>
      <c r="N135" s="40" t="str">
        <f aca="false">IF($L135="청산",$I135*$F135,"")</f>
        <v/>
      </c>
      <c r="O135" s="40" t="str">
        <f aca="false">IF($B135="","",$G135+$J135+$K135)</f>
        <v/>
      </c>
      <c r="P135" s="41" t="str">
        <f aca="false">IF($L135="청산",$N135-$M135-$O135,"")</f>
        <v/>
      </c>
      <c r="Q135" s="42" t="str">
        <f aca="false">IF($L135="청산",IF($M135=0,"",$P135/$M135),"")</f>
        <v/>
      </c>
      <c r="R135" s="43" t="str">
        <f aca="true">IF($B135="","",IF($L135="청산",$H135-$D135,IF($D135="","",TODAY()-$D135)))</f>
        <v/>
      </c>
      <c r="S135" s="44" t="str">
        <f aca="false">IF($L135="청산",DATE(YEAR($H135),MONTH($H135),1),"")</f>
        <v/>
      </c>
      <c r="T135" s="48"/>
      <c r="U135" s="49"/>
      <c r="V135" s="46" t="str">
        <f aca="false">IF($B135="","",IF($L135&lt;&gt;"청산",N(V134),IF($P135&gt;0,N(V134)+1,0)))</f>
        <v/>
      </c>
      <c r="W135" s="46" t="str">
        <f aca="false">IF($B135="","",IF($L135&lt;&gt;"청산",N(W134),IF($P135&lt;0,N(W134)+1,0)))</f>
        <v/>
      </c>
    </row>
    <row r="136" customFormat="false" ht="15" hidden="false" customHeight="false" outlineLevel="0" collapsed="false">
      <c r="A136" s="32" t="str">
        <f aca="false">IF($B136="","",ROW()-5)</f>
        <v/>
      </c>
      <c r="B136" s="48"/>
      <c r="C136" s="49"/>
      <c r="D136" s="50"/>
      <c r="E136" s="51"/>
      <c r="F136" s="52"/>
      <c r="G136" s="53"/>
      <c r="H136" s="50"/>
      <c r="I136" s="51"/>
      <c r="J136" s="53"/>
      <c r="K136" s="53"/>
      <c r="L136" s="39" t="str">
        <f aca="false">IF($B136="","",IF($H136="","보유중","청산"))</f>
        <v/>
      </c>
      <c r="M136" s="40" t="str">
        <f aca="false">IF($B136="","",$E136*$F136)</f>
        <v/>
      </c>
      <c r="N136" s="40" t="str">
        <f aca="false">IF($L136="청산",$I136*$F136,"")</f>
        <v/>
      </c>
      <c r="O136" s="40" t="str">
        <f aca="false">IF($B136="","",$G136+$J136+$K136)</f>
        <v/>
      </c>
      <c r="P136" s="41" t="str">
        <f aca="false">IF($L136="청산",$N136-$M136-$O136,"")</f>
        <v/>
      </c>
      <c r="Q136" s="42" t="str">
        <f aca="false">IF($L136="청산",IF($M136=0,"",$P136/$M136),"")</f>
        <v/>
      </c>
      <c r="R136" s="43" t="str">
        <f aca="true">IF($B136="","",IF($L136="청산",$H136-$D136,IF($D136="","",TODAY()-$D136)))</f>
        <v/>
      </c>
      <c r="S136" s="44" t="str">
        <f aca="false">IF($L136="청산",DATE(YEAR($H136),MONTH($H136),1),"")</f>
        <v/>
      </c>
      <c r="T136" s="48"/>
      <c r="U136" s="49"/>
      <c r="V136" s="46" t="str">
        <f aca="false">IF($B136="","",IF($L136&lt;&gt;"청산",N(V135),IF($P136&gt;0,N(V135)+1,0)))</f>
        <v/>
      </c>
      <c r="W136" s="46" t="str">
        <f aca="false">IF($B136="","",IF($L136&lt;&gt;"청산",N(W135),IF($P136&lt;0,N(W135)+1,0)))</f>
        <v/>
      </c>
    </row>
    <row r="137" customFormat="false" ht="15" hidden="false" customHeight="false" outlineLevel="0" collapsed="false">
      <c r="A137" s="32" t="str">
        <f aca="false">IF($B137="","",ROW()-5)</f>
        <v/>
      </c>
      <c r="B137" s="48"/>
      <c r="C137" s="49"/>
      <c r="D137" s="50"/>
      <c r="E137" s="51"/>
      <c r="F137" s="52"/>
      <c r="G137" s="53"/>
      <c r="H137" s="50"/>
      <c r="I137" s="51"/>
      <c r="J137" s="53"/>
      <c r="K137" s="53"/>
      <c r="L137" s="39" t="str">
        <f aca="false">IF($B137="","",IF($H137="","보유중","청산"))</f>
        <v/>
      </c>
      <c r="M137" s="40" t="str">
        <f aca="false">IF($B137="","",$E137*$F137)</f>
        <v/>
      </c>
      <c r="N137" s="40" t="str">
        <f aca="false">IF($L137="청산",$I137*$F137,"")</f>
        <v/>
      </c>
      <c r="O137" s="40" t="str">
        <f aca="false">IF($B137="","",$G137+$J137+$K137)</f>
        <v/>
      </c>
      <c r="P137" s="41" t="str">
        <f aca="false">IF($L137="청산",$N137-$M137-$O137,"")</f>
        <v/>
      </c>
      <c r="Q137" s="42" t="str">
        <f aca="false">IF($L137="청산",IF($M137=0,"",$P137/$M137),"")</f>
        <v/>
      </c>
      <c r="R137" s="43" t="str">
        <f aca="true">IF($B137="","",IF($L137="청산",$H137-$D137,IF($D137="","",TODAY()-$D137)))</f>
        <v/>
      </c>
      <c r="S137" s="44" t="str">
        <f aca="false">IF($L137="청산",DATE(YEAR($H137),MONTH($H137),1),"")</f>
        <v/>
      </c>
      <c r="T137" s="48"/>
      <c r="U137" s="49"/>
      <c r="V137" s="46" t="str">
        <f aca="false">IF($B137="","",IF($L137&lt;&gt;"청산",N(V136),IF($P137&gt;0,N(V136)+1,0)))</f>
        <v/>
      </c>
      <c r="W137" s="46" t="str">
        <f aca="false">IF($B137="","",IF($L137&lt;&gt;"청산",N(W136),IF($P137&lt;0,N(W136)+1,0)))</f>
        <v/>
      </c>
    </row>
    <row r="138" customFormat="false" ht="15" hidden="false" customHeight="false" outlineLevel="0" collapsed="false">
      <c r="A138" s="32" t="str">
        <f aca="false">IF($B138="","",ROW()-5)</f>
        <v/>
      </c>
      <c r="B138" s="48"/>
      <c r="C138" s="49"/>
      <c r="D138" s="50"/>
      <c r="E138" s="51"/>
      <c r="F138" s="52"/>
      <c r="G138" s="53"/>
      <c r="H138" s="50"/>
      <c r="I138" s="51"/>
      <c r="J138" s="53"/>
      <c r="K138" s="53"/>
      <c r="L138" s="39" t="str">
        <f aca="false">IF($B138="","",IF($H138="","보유중","청산"))</f>
        <v/>
      </c>
      <c r="M138" s="40" t="str">
        <f aca="false">IF($B138="","",$E138*$F138)</f>
        <v/>
      </c>
      <c r="N138" s="40" t="str">
        <f aca="false">IF($L138="청산",$I138*$F138,"")</f>
        <v/>
      </c>
      <c r="O138" s="40" t="str">
        <f aca="false">IF($B138="","",$G138+$J138+$K138)</f>
        <v/>
      </c>
      <c r="P138" s="41" t="str">
        <f aca="false">IF($L138="청산",$N138-$M138-$O138,"")</f>
        <v/>
      </c>
      <c r="Q138" s="42" t="str">
        <f aca="false">IF($L138="청산",IF($M138=0,"",$P138/$M138),"")</f>
        <v/>
      </c>
      <c r="R138" s="43" t="str">
        <f aca="true">IF($B138="","",IF($L138="청산",$H138-$D138,IF($D138="","",TODAY()-$D138)))</f>
        <v/>
      </c>
      <c r="S138" s="44" t="str">
        <f aca="false">IF($L138="청산",DATE(YEAR($H138),MONTH($H138),1),"")</f>
        <v/>
      </c>
      <c r="T138" s="48"/>
      <c r="U138" s="49"/>
      <c r="V138" s="46" t="str">
        <f aca="false">IF($B138="","",IF($L138&lt;&gt;"청산",N(V137),IF($P138&gt;0,N(V137)+1,0)))</f>
        <v/>
      </c>
      <c r="W138" s="46" t="str">
        <f aca="false">IF($B138="","",IF($L138&lt;&gt;"청산",N(W137),IF($P138&lt;0,N(W137)+1,0)))</f>
        <v/>
      </c>
    </row>
    <row r="139" customFormat="false" ht="15" hidden="false" customHeight="false" outlineLevel="0" collapsed="false">
      <c r="A139" s="32" t="str">
        <f aca="false">IF($B139="","",ROW()-5)</f>
        <v/>
      </c>
      <c r="B139" s="48"/>
      <c r="C139" s="49"/>
      <c r="D139" s="50"/>
      <c r="E139" s="51"/>
      <c r="F139" s="52"/>
      <c r="G139" s="53"/>
      <c r="H139" s="50"/>
      <c r="I139" s="51"/>
      <c r="J139" s="53"/>
      <c r="K139" s="53"/>
      <c r="L139" s="39" t="str">
        <f aca="false">IF($B139="","",IF($H139="","보유중","청산"))</f>
        <v/>
      </c>
      <c r="M139" s="40" t="str">
        <f aca="false">IF($B139="","",$E139*$F139)</f>
        <v/>
      </c>
      <c r="N139" s="40" t="str">
        <f aca="false">IF($L139="청산",$I139*$F139,"")</f>
        <v/>
      </c>
      <c r="O139" s="40" t="str">
        <f aca="false">IF($B139="","",$G139+$J139+$K139)</f>
        <v/>
      </c>
      <c r="P139" s="41" t="str">
        <f aca="false">IF($L139="청산",$N139-$M139-$O139,"")</f>
        <v/>
      </c>
      <c r="Q139" s="42" t="str">
        <f aca="false">IF($L139="청산",IF($M139=0,"",$P139/$M139),"")</f>
        <v/>
      </c>
      <c r="R139" s="43" t="str">
        <f aca="true">IF($B139="","",IF($L139="청산",$H139-$D139,IF($D139="","",TODAY()-$D139)))</f>
        <v/>
      </c>
      <c r="S139" s="44" t="str">
        <f aca="false">IF($L139="청산",DATE(YEAR($H139),MONTH($H139),1),"")</f>
        <v/>
      </c>
      <c r="T139" s="48"/>
      <c r="U139" s="49"/>
      <c r="V139" s="46" t="str">
        <f aca="false">IF($B139="","",IF($L139&lt;&gt;"청산",N(V138),IF($P139&gt;0,N(V138)+1,0)))</f>
        <v/>
      </c>
      <c r="W139" s="46" t="str">
        <f aca="false">IF($B139="","",IF($L139&lt;&gt;"청산",N(W138),IF($P139&lt;0,N(W138)+1,0)))</f>
        <v/>
      </c>
    </row>
    <row r="140" customFormat="false" ht="15" hidden="false" customHeight="false" outlineLevel="0" collapsed="false">
      <c r="A140" s="32" t="str">
        <f aca="false">IF($B140="","",ROW()-5)</f>
        <v/>
      </c>
      <c r="B140" s="48"/>
      <c r="C140" s="49"/>
      <c r="D140" s="50"/>
      <c r="E140" s="51"/>
      <c r="F140" s="52"/>
      <c r="G140" s="53"/>
      <c r="H140" s="50"/>
      <c r="I140" s="51"/>
      <c r="J140" s="53"/>
      <c r="K140" s="53"/>
      <c r="L140" s="39" t="str">
        <f aca="false">IF($B140="","",IF($H140="","보유중","청산"))</f>
        <v/>
      </c>
      <c r="M140" s="40" t="str">
        <f aca="false">IF($B140="","",$E140*$F140)</f>
        <v/>
      </c>
      <c r="N140" s="40" t="str">
        <f aca="false">IF($L140="청산",$I140*$F140,"")</f>
        <v/>
      </c>
      <c r="O140" s="40" t="str">
        <f aca="false">IF($B140="","",$G140+$J140+$K140)</f>
        <v/>
      </c>
      <c r="P140" s="41" t="str">
        <f aca="false">IF($L140="청산",$N140-$M140-$O140,"")</f>
        <v/>
      </c>
      <c r="Q140" s="42" t="str">
        <f aca="false">IF($L140="청산",IF($M140=0,"",$P140/$M140),"")</f>
        <v/>
      </c>
      <c r="R140" s="43" t="str">
        <f aca="true">IF($B140="","",IF($L140="청산",$H140-$D140,IF($D140="","",TODAY()-$D140)))</f>
        <v/>
      </c>
      <c r="S140" s="44" t="str">
        <f aca="false">IF($L140="청산",DATE(YEAR($H140),MONTH($H140),1),"")</f>
        <v/>
      </c>
      <c r="T140" s="48"/>
      <c r="U140" s="49"/>
      <c r="V140" s="46" t="str">
        <f aca="false">IF($B140="","",IF($L140&lt;&gt;"청산",N(V139),IF($P140&gt;0,N(V139)+1,0)))</f>
        <v/>
      </c>
      <c r="W140" s="46" t="str">
        <f aca="false">IF($B140="","",IF($L140&lt;&gt;"청산",N(W139),IF($P140&lt;0,N(W139)+1,0)))</f>
        <v/>
      </c>
    </row>
    <row r="141" customFormat="false" ht="15" hidden="false" customHeight="false" outlineLevel="0" collapsed="false">
      <c r="A141" s="32" t="str">
        <f aca="false">IF($B141="","",ROW()-5)</f>
        <v/>
      </c>
      <c r="B141" s="48"/>
      <c r="C141" s="49"/>
      <c r="D141" s="50"/>
      <c r="E141" s="51"/>
      <c r="F141" s="52"/>
      <c r="G141" s="53"/>
      <c r="H141" s="50"/>
      <c r="I141" s="51"/>
      <c r="J141" s="53"/>
      <c r="K141" s="53"/>
      <c r="L141" s="39" t="str">
        <f aca="false">IF($B141="","",IF($H141="","보유중","청산"))</f>
        <v/>
      </c>
      <c r="M141" s="40" t="str">
        <f aca="false">IF($B141="","",$E141*$F141)</f>
        <v/>
      </c>
      <c r="N141" s="40" t="str">
        <f aca="false">IF($L141="청산",$I141*$F141,"")</f>
        <v/>
      </c>
      <c r="O141" s="40" t="str">
        <f aca="false">IF($B141="","",$G141+$J141+$K141)</f>
        <v/>
      </c>
      <c r="P141" s="41" t="str">
        <f aca="false">IF($L141="청산",$N141-$M141-$O141,"")</f>
        <v/>
      </c>
      <c r="Q141" s="42" t="str">
        <f aca="false">IF($L141="청산",IF($M141=0,"",$P141/$M141),"")</f>
        <v/>
      </c>
      <c r="R141" s="43" t="str">
        <f aca="true">IF($B141="","",IF($L141="청산",$H141-$D141,IF($D141="","",TODAY()-$D141)))</f>
        <v/>
      </c>
      <c r="S141" s="44" t="str">
        <f aca="false">IF($L141="청산",DATE(YEAR($H141),MONTH($H141),1),"")</f>
        <v/>
      </c>
      <c r="T141" s="48"/>
      <c r="U141" s="49"/>
      <c r="V141" s="46" t="str">
        <f aca="false">IF($B141="","",IF($L141&lt;&gt;"청산",N(V140),IF($P141&gt;0,N(V140)+1,0)))</f>
        <v/>
      </c>
      <c r="W141" s="46" t="str">
        <f aca="false">IF($B141="","",IF($L141&lt;&gt;"청산",N(W140),IF($P141&lt;0,N(W140)+1,0)))</f>
        <v/>
      </c>
    </row>
    <row r="142" customFormat="false" ht="15" hidden="false" customHeight="false" outlineLevel="0" collapsed="false">
      <c r="A142" s="32" t="str">
        <f aca="false">IF($B142="","",ROW()-5)</f>
        <v/>
      </c>
      <c r="B142" s="48"/>
      <c r="C142" s="49"/>
      <c r="D142" s="50"/>
      <c r="E142" s="51"/>
      <c r="F142" s="52"/>
      <c r="G142" s="53"/>
      <c r="H142" s="50"/>
      <c r="I142" s="51"/>
      <c r="J142" s="53"/>
      <c r="K142" s="53"/>
      <c r="L142" s="39" t="str">
        <f aca="false">IF($B142="","",IF($H142="","보유중","청산"))</f>
        <v/>
      </c>
      <c r="M142" s="40" t="str">
        <f aca="false">IF($B142="","",$E142*$F142)</f>
        <v/>
      </c>
      <c r="N142" s="40" t="str">
        <f aca="false">IF($L142="청산",$I142*$F142,"")</f>
        <v/>
      </c>
      <c r="O142" s="40" t="str">
        <f aca="false">IF($B142="","",$G142+$J142+$K142)</f>
        <v/>
      </c>
      <c r="P142" s="41" t="str">
        <f aca="false">IF($L142="청산",$N142-$M142-$O142,"")</f>
        <v/>
      </c>
      <c r="Q142" s="42" t="str">
        <f aca="false">IF($L142="청산",IF($M142=0,"",$P142/$M142),"")</f>
        <v/>
      </c>
      <c r="R142" s="43" t="str">
        <f aca="true">IF($B142="","",IF($L142="청산",$H142-$D142,IF($D142="","",TODAY()-$D142)))</f>
        <v/>
      </c>
      <c r="S142" s="44" t="str">
        <f aca="false">IF($L142="청산",DATE(YEAR($H142),MONTH($H142),1),"")</f>
        <v/>
      </c>
      <c r="T142" s="48"/>
      <c r="U142" s="49"/>
      <c r="V142" s="46" t="str">
        <f aca="false">IF($B142="","",IF($L142&lt;&gt;"청산",N(V141),IF($P142&gt;0,N(V141)+1,0)))</f>
        <v/>
      </c>
      <c r="W142" s="46" t="str">
        <f aca="false">IF($B142="","",IF($L142&lt;&gt;"청산",N(W141),IF($P142&lt;0,N(W141)+1,0)))</f>
        <v/>
      </c>
    </row>
    <row r="143" customFormat="false" ht="15" hidden="false" customHeight="false" outlineLevel="0" collapsed="false">
      <c r="A143" s="32" t="str">
        <f aca="false">IF($B143="","",ROW()-5)</f>
        <v/>
      </c>
      <c r="B143" s="48"/>
      <c r="C143" s="49"/>
      <c r="D143" s="50"/>
      <c r="E143" s="51"/>
      <c r="F143" s="52"/>
      <c r="G143" s="53"/>
      <c r="H143" s="50"/>
      <c r="I143" s="51"/>
      <c r="J143" s="53"/>
      <c r="K143" s="53"/>
      <c r="L143" s="39" t="str">
        <f aca="false">IF($B143="","",IF($H143="","보유중","청산"))</f>
        <v/>
      </c>
      <c r="M143" s="40" t="str">
        <f aca="false">IF($B143="","",$E143*$F143)</f>
        <v/>
      </c>
      <c r="N143" s="40" t="str">
        <f aca="false">IF($L143="청산",$I143*$F143,"")</f>
        <v/>
      </c>
      <c r="O143" s="40" t="str">
        <f aca="false">IF($B143="","",$G143+$J143+$K143)</f>
        <v/>
      </c>
      <c r="P143" s="41" t="str">
        <f aca="false">IF($L143="청산",$N143-$M143-$O143,"")</f>
        <v/>
      </c>
      <c r="Q143" s="42" t="str">
        <f aca="false">IF($L143="청산",IF($M143=0,"",$P143/$M143),"")</f>
        <v/>
      </c>
      <c r="R143" s="43" t="str">
        <f aca="true">IF($B143="","",IF($L143="청산",$H143-$D143,IF($D143="","",TODAY()-$D143)))</f>
        <v/>
      </c>
      <c r="S143" s="44" t="str">
        <f aca="false">IF($L143="청산",DATE(YEAR($H143),MONTH($H143),1),"")</f>
        <v/>
      </c>
      <c r="T143" s="48"/>
      <c r="U143" s="49"/>
      <c r="V143" s="46" t="str">
        <f aca="false">IF($B143="","",IF($L143&lt;&gt;"청산",N(V142),IF($P143&gt;0,N(V142)+1,0)))</f>
        <v/>
      </c>
      <c r="W143" s="46" t="str">
        <f aca="false">IF($B143="","",IF($L143&lt;&gt;"청산",N(W142),IF($P143&lt;0,N(W142)+1,0)))</f>
        <v/>
      </c>
    </row>
    <row r="144" customFormat="false" ht="15" hidden="false" customHeight="false" outlineLevel="0" collapsed="false">
      <c r="A144" s="32" t="str">
        <f aca="false">IF($B144="","",ROW()-5)</f>
        <v/>
      </c>
      <c r="B144" s="48"/>
      <c r="C144" s="49"/>
      <c r="D144" s="50"/>
      <c r="E144" s="51"/>
      <c r="F144" s="52"/>
      <c r="G144" s="53"/>
      <c r="H144" s="50"/>
      <c r="I144" s="51"/>
      <c r="J144" s="53"/>
      <c r="K144" s="53"/>
      <c r="L144" s="39" t="str">
        <f aca="false">IF($B144="","",IF($H144="","보유중","청산"))</f>
        <v/>
      </c>
      <c r="M144" s="40" t="str">
        <f aca="false">IF($B144="","",$E144*$F144)</f>
        <v/>
      </c>
      <c r="N144" s="40" t="str">
        <f aca="false">IF($L144="청산",$I144*$F144,"")</f>
        <v/>
      </c>
      <c r="O144" s="40" t="str">
        <f aca="false">IF($B144="","",$G144+$J144+$K144)</f>
        <v/>
      </c>
      <c r="P144" s="41" t="str">
        <f aca="false">IF($L144="청산",$N144-$M144-$O144,"")</f>
        <v/>
      </c>
      <c r="Q144" s="42" t="str">
        <f aca="false">IF($L144="청산",IF($M144=0,"",$P144/$M144),"")</f>
        <v/>
      </c>
      <c r="R144" s="43" t="str">
        <f aca="true">IF($B144="","",IF($L144="청산",$H144-$D144,IF($D144="","",TODAY()-$D144)))</f>
        <v/>
      </c>
      <c r="S144" s="44" t="str">
        <f aca="false">IF($L144="청산",DATE(YEAR($H144),MONTH($H144),1),"")</f>
        <v/>
      </c>
      <c r="T144" s="48"/>
      <c r="U144" s="49"/>
      <c r="V144" s="46" t="str">
        <f aca="false">IF($B144="","",IF($L144&lt;&gt;"청산",N(V143),IF($P144&gt;0,N(V143)+1,0)))</f>
        <v/>
      </c>
      <c r="W144" s="46" t="str">
        <f aca="false">IF($B144="","",IF($L144&lt;&gt;"청산",N(W143),IF($P144&lt;0,N(W143)+1,0)))</f>
        <v/>
      </c>
    </row>
    <row r="145" customFormat="false" ht="15" hidden="false" customHeight="false" outlineLevel="0" collapsed="false">
      <c r="A145" s="32" t="str">
        <f aca="false">IF($B145="","",ROW()-5)</f>
        <v/>
      </c>
      <c r="B145" s="48"/>
      <c r="C145" s="49"/>
      <c r="D145" s="50"/>
      <c r="E145" s="51"/>
      <c r="F145" s="52"/>
      <c r="G145" s="53"/>
      <c r="H145" s="50"/>
      <c r="I145" s="51"/>
      <c r="J145" s="53"/>
      <c r="K145" s="53"/>
      <c r="L145" s="39" t="str">
        <f aca="false">IF($B145="","",IF($H145="","보유중","청산"))</f>
        <v/>
      </c>
      <c r="M145" s="40" t="str">
        <f aca="false">IF($B145="","",$E145*$F145)</f>
        <v/>
      </c>
      <c r="N145" s="40" t="str">
        <f aca="false">IF($L145="청산",$I145*$F145,"")</f>
        <v/>
      </c>
      <c r="O145" s="40" t="str">
        <f aca="false">IF($B145="","",$G145+$J145+$K145)</f>
        <v/>
      </c>
      <c r="P145" s="41" t="str">
        <f aca="false">IF($L145="청산",$N145-$M145-$O145,"")</f>
        <v/>
      </c>
      <c r="Q145" s="42" t="str">
        <f aca="false">IF($L145="청산",IF($M145=0,"",$P145/$M145),"")</f>
        <v/>
      </c>
      <c r="R145" s="43" t="str">
        <f aca="true">IF($B145="","",IF($L145="청산",$H145-$D145,IF($D145="","",TODAY()-$D145)))</f>
        <v/>
      </c>
      <c r="S145" s="44" t="str">
        <f aca="false">IF($L145="청산",DATE(YEAR($H145),MONTH($H145),1),"")</f>
        <v/>
      </c>
      <c r="T145" s="48"/>
      <c r="U145" s="49"/>
      <c r="V145" s="46" t="str">
        <f aca="false">IF($B145="","",IF($L145&lt;&gt;"청산",N(V144),IF($P145&gt;0,N(V144)+1,0)))</f>
        <v/>
      </c>
      <c r="W145" s="46" t="str">
        <f aca="false">IF($B145="","",IF($L145&lt;&gt;"청산",N(W144),IF($P145&lt;0,N(W144)+1,0)))</f>
        <v/>
      </c>
    </row>
    <row r="146" customFormat="false" ht="15" hidden="false" customHeight="false" outlineLevel="0" collapsed="false">
      <c r="A146" s="32" t="str">
        <f aca="false">IF($B146="","",ROW()-5)</f>
        <v/>
      </c>
      <c r="B146" s="48"/>
      <c r="C146" s="49"/>
      <c r="D146" s="50"/>
      <c r="E146" s="51"/>
      <c r="F146" s="52"/>
      <c r="G146" s="53"/>
      <c r="H146" s="50"/>
      <c r="I146" s="51"/>
      <c r="J146" s="53"/>
      <c r="K146" s="53"/>
      <c r="L146" s="39" t="str">
        <f aca="false">IF($B146="","",IF($H146="","보유중","청산"))</f>
        <v/>
      </c>
      <c r="M146" s="40" t="str">
        <f aca="false">IF($B146="","",$E146*$F146)</f>
        <v/>
      </c>
      <c r="N146" s="40" t="str">
        <f aca="false">IF($L146="청산",$I146*$F146,"")</f>
        <v/>
      </c>
      <c r="O146" s="40" t="str">
        <f aca="false">IF($B146="","",$G146+$J146+$K146)</f>
        <v/>
      </c>
      <c r="P146" s="41" t="str">
        <f aca="false">IF($L146="청산",$N146-$M146-$O146,"")</f>
        <v/>
      </c>
      <c r="Q146" s="42" t="str">
        <f aca="false">IF($L146="청산",IF($M146=0,"",$P146/$M146),"")</f>
        <v/>
      </c>
      <c r="R146" s="43" t="str">
        <f aca="true">IF($B146="","",IF($L146="청산",$H146-$D146,IF($D146="","",TODAY()-$D146)))</f>
        <v/>
      </c>
      <c r="S146" s="44" t="str">
        <f aca="false">IF($L146="청산",DATE(YEAR($H146),MONTH($H146),1),"")</f>
        <v/>
      </c>
      <c r="T146" s="48"/>
      <c r="U146" s="49"/>
      <c r="V146" s="46" t="str">
        <f aca="false">IF($B146="","",IF($L146&lt;&gt;"청산",N(V145),IF($P146&gt;0,N(V145)+1,0)))</f>
        <v/>
      </c>
      <c r="W146" s="46" t="str">
        <f aca="false">IF($B146="","",IF($L146&lt;&gt;"청산",N(W145),IF($P146&lt;0,N(W145)+1,0)))</f>
        <v/>
      </c>
    </row>
    <row r="147" customFormat="false" ht="15" hidden="false" customHeight="false" outlineLevel="0" collapsed="false">
      <c r="A147" s="32" t="str">
        <f aca="false">IF($B147="","",ROW()-5)</f>
        <v/>
      </c>
      <c r="B147" s="48"/>
      <c r="C147" s="49"/>
      <c r="D147" s="50"/>
      <c r="E147" s="51"/>
      <c r="F147" s="52"/>
      <c r="G147" s="53"/>
      <c r="H147" s="50"/>
      <c r="I147" s="51"/>
      <c r="J147" s="53"/>
      <c r="K147" s="53"/>
      <c r="L147" s="39" t="str">
        <f aca="false">IF($B147="","",IF($H147="","보유중","청산"))</f>
        <v/>
      </c>
      <c r="M147" s="40" t="str">
        <f aca="false">IF($B147="","",$E147*$F147)</f>
        <v/>
      </c>
      <c r="N147" s="40" t="str">
        <f aca="false">IF($L147="청산",$I147*$F147,"")</f>
        <v/>
      </c>
      <c r="O147" s="40" t="str">
        <f aca="false">IF($B147="","",$G147+$J147+$K147)</f>
        <v/>
      </c>
      <c r="P147" s="41" t="str">
        <f aca="false">IF($L147="청산",$N147-$M147-$O147,"")</f>
        <v/>
      </c>
      <c r="Q147" s="42" t="str">
        <f aca="false">IF($L147="청산",IF($M147=0,"",$P147/$M147),"")</f>
        <v/>
      </c>
      <c r="R147" s="43" t="str">
        <f aca="true">IF($B147="","",IF($L147="청산",$H147-$D147,IF($D147="","",TODAY()-$D147)))</f>
        <v/>
      </c>
      <c r="S147" s="44" t="str">
        <f aca="false">IF($L147="청산",DATE(YEAR($H147),MONTH($H147),1),"")</f>
        <v/>
      </c>
      <c r="T147" s="48"/>
      <c r="U147" s="49"/>
      <c r="V147" s="46" t="str">
        <f aca="false">IF($B147="","",IF($L147&lt;&gt;"청산",N(V146),IF($P147&gt;0,N(V146)+1,0)))</f>
        <v/>
      </c>
      <c r="W147" s="46" t="str">
        <f aca="false">IF($B147="","",IF($L147&lt;&gt;"청산",N(W146),IF($P147&lt;0,N(W146)+1,0)))</f>
        <v/>
      </c>
    </row>
    <row r="148" customFormat="false" ht="15" hidden="false" customHeight="false" outlineLevel="0" collapsed="false">
      <c r="A148" s="32" t="str">
        <f aca="false">IF($B148="","",ROW()-5)</f>
        <v/>
      </c>
      <c r="B148" s="48"/>
      <c r="C148" s="49"/>
      <c r="D148" s="50"/>
      <c r="E148" s="51"/>
      <c r="F148" s="52"/>
      <c r="G148" s="53"/>
      <c r="H148" s="50"/>
      <c r="I148" s="51"/>
      <c r="J148" s="53"/>
      <c r="K148" s="53"/>
      <c r="L148" s="39" t="str">
        <f aca="false">IF($B148="","",IF($H148="","보유중","청산"))</f>
        <v/>
      </c>
      <c r="M148" s="40" t="str">
        <f aca="false">IF($B148="","",$E148*$F148)</f>
        <v/>
      </c>
      <c r="N148" s="40" t="str">
        <f aca="false">IF($L148="청산",$I148*$F148,"")</f>
        <v/>
      </c>
      <c r="O148" s="40" t="str">
        <f aca="false">IF($B148="","",$G148+$J148+$K148)</f>
        <v/>
      </c>
      <c r="P148" s="41" t="str">
        <f aca="false">IF($L148="청산",$N148-$M148-$O148,"")</f>
        <v/>
      </c>
      <c r="Q148" s="42" t="str">
        <f aca="false">IF($L148="청산",IF($M148=0,"",$P148/$M148),"")</f>
        <v/>
      </c>
      <c r="R148" s="43" t="str">
        <f aca="true">IF($B148="","",IF($L148="청산",$H148-$D148,IF($D148="","",TODAY()-$D148)))</f>
        <v/>
      </c>
      <c r="S148" s="44" t="str">
        <f aca="false">IF($L148="청산",DATE(YEAR($H148),MONTH($H148),1),"")</f>
        <v/>
      </c>
      <c r="T148" s="48"/>
      <c r="U148" s="49"/>
      <c r="V148" s="46" t="str">
        <f aca="false">IF($B148="","",IF($L148&lt;&gt;"청산",N(V147),IF($P148&gt;0,N(V147)+1,0)))</f>
        <v/>
      </c>
      <c r="W148" s="46" t="str">
        <f aca="false">IF($B148="","",IF($L148&lt;&gt;"청산",N(W147),IF($P148&lt;0,N(W147)+1,0)))</f>
        <v/>
      </c>
    </row>
    <row r="149" customFormat="false" ht="15" hidden="false" customHeight="false" outlineLevel="0" collapsed="false">
      <c r="A149" s="32" t="str">
        <f aca="false">IF($B149="","",ROW()-5)</f>
        <v/>
      </c>
      <c r="B149" s="48"/>
      <c r="C149" s="49"/>
      <c r="D149" s="50"/>
      <c r="E149" s="51"/>
      <c r="F149" s="52"/>
      <c r="G149" s="53"/>
      <c r="H149" s="50"/>
      <c r="I149" s="51"/>
      <c r="J149" s="53"/>
      <c r="K149" s="53"/>
      <c r="L149" s="39" t="str">
        <f aca="false">IF($B149="","",IF($H149="","보유중","청산"))</f>
        <v/>
      </c>
      <c r="M149" s="40" t="str">
        <f aca="false">IF($B149="","",$E149*$F149)</f>
        <v/>
      </c>
      <c r="N149" s="40" t="str">
        <f aca="false">IF($L149="청산",$I149*$F149,"")</f>
        <v/>
      </c>
      <c r="O149" s="40" t="str">
        <f aca="false">IF($B149="","",$G149+$J149+$K149)</f>
        <v/>
      </c>
      <c r="P149" s="41" t="str">
        <f aca="false">IF($L149="청산",$N149-$M149-$O149,"")</f>
        <v/>
      </c>
      <c r="Q149" s="42" t="str">
        <f aca="false">IF($L149="청산",IF($M149=0,"",$P149/$M149),"")</f>
        <v/>
      </c>
      <c r="R149" s="43" t="str">
        <f aca="true">IF($B149="","",IF($L149="청산",$H149-$D149,IF($D149="","",TODAY()-$D149)))</f>
        <v/>
      </c>
      <c r="S149" s="44" t="str">
        <f aca="false">IF($L149="청산",DATE(YEAR($H149),MONTH($H149),1),"")</f>
        <v/>
      </c>
      <c r="T149" s="48"/>
      <c r="U149" s="49"/>
      <c r="V149" s="46" t="str">
        <f aca="false">IF($B149="","",IF($L149&lt;&gt;"청산",N(V148),IF($P149&gt;0,N(V148)+1,0)))</f>
        <v/>
      </c>
      <c r="W149" s="46" t="str">
        <f aca="false">IF($B149="","",IF($L149&lt;&gt;"청산",N(W148),IF($P149&lt;0,N(W148)+1,0)))</f>
        <v/>
      </c>
    </row>
    <row r="150" customFormat="false" ht="15" hidden="false" customHeight="false" outlineLevel="0" collapsed="false">
      <c r="A150" s="32" t="str">
        <f aca="false">IF($B150="","",ROW()-5)</f>
        <v/>
      </c>
      <c r="B150" s="48"/>
      <c r="C150" s="49"/>
      <c r="D150" s="50"/>
      <c r="E150" s="51"/>
      <c r="F150" s="52"/>
      <c r="G150" s="53"/>
      <c r="H150" s="50"/>
      <c r="I150" s="51"/>
      <c r="J150" s="53"/>
      <c r="K150" s="53"/>
      <c r="L150" s="39" t="str">
        <f aca="false">IF($B150="","",IF($H150="","보유중","청산"))</f>
        <v/>
      </c>
      <c r="M150" s="40" t="str">
        <f aca="false">IF($B150="","",$E150*$F150)</f>
        <v/>
      </c>
      <c r="N150" s="40" t="str">
        <f aca="false">IF($L150="청산",$I150*$F150,"")</f>
        <v/>
      </c>
      <c r="O150" s="40" t="str">
        <f aca="false">IF($B150="","",$G150+$J150+$K150)</f>
        <v/>
      </c>
      <c r="P150" s="41" t="str">
        <f aca="false">IF($L150="청산",$N150-$M150-$O150,"")</f>
        <v/>
      </c>
      <c r="Q150" s="42" t="str">
        <f aca="false">IF($L150="청산",IF($M150=0,"",$P150/$M150),"")</f>
        <v/>
      </c>
      <c r="R150" s="43" t="str">
        <f aca="true">IF($B150="","",IF($L150="청산",$H150-$D150,IF($D150="","",TODAY()-$D150)))</f>
        <v/>
      </c>
      <c r="S150" s="44" t="str">
        <f aca="false">IF($L150="청산",DATE(YEAR($H150),MONTH($H150),1),"")</f>
        <v/>
      </c>
      <c r="T150" s="48"/>
      <c r="U150" s="49"/>
      <c r="V150" s="46" t="str">
        <f aca="false">IF($B150="","",IF($L150&lt;&gt;"청산",N(V149),IF($P150&gt;0,N(V149)+1,0)))</f>
        <v/>
      </c>
      <c r="W150" s="46" t="str">
        <f aca="false">IF($B150="","",IF($L150&lt;&gt;"청산",N(W149),IF($P150&lt;0,N(W149)+1,0)))</f>
        <v/>
      </c>
    </row>
    <row r="151" customFormat="false" ht="15" hidden="false" customHeight="false" outlineLevel="0" collapsed="false">
      <c r="A151" s="32" t="str">
        <f aca="false">IF($B151="","",ROW()-5)</f>
        <v/>
      </c>
      <c r="B151" s="48"/>
      <c r="C151" s="49"/>
      <c r="D151" s="50"/>
      <c r="E151" s="51"/>
      <c r="F151" s="52"/>
      <c r="G151" s="53"/>
      <c r="H151" s="50"/>
      <c r="I151" s="51"/>
      <c r="J151" s="53"/>
      <c r="K151" s="53"/>
      <c r="L151" s="39" t="str">
        <f aca="false">IF($B151="","",IF($H151="","보유중","청산"))</f>
        <v/>
      </c>
      <c r="M151" s="40" t="str">
        <f aca="false">IF($B151="","",$E151*$F151)</f>
        <v/>
      </c>
      <c r="N151" s="40" t="str">
        <f aca="false">IF($L151="청산",$I151*$F151,"")</f>
        <v/>
      </c>
      <c r="O151" s="40" t="str">
        <f aca="false">IF($B151="","",$G151+$J151+$K151)</f>
        <v/>
      </c>
      <c r="P151" s="41" t="str">
        <f aca="false">IF($L151="청산",$N151-$M151-$O151,"")</f>
        <v/>
      </c>
      <c r="Q151" s="42" t="str">
        <f aca="false">IF($L151="청산",IF($M151=0,"",$P151/$M151),"")</f>
        <v/>
      </c>
      <c r="R151" s="43" t="str">
        <f aca="true">IF($B151="","",IF($L151="청산",$H151-$D151,IF($D151="","",TODAY()-$D151)))</f>
        <v/>
      </c>
      <c r="S151" s="44" t="str">
        <f aca="false">IF($L151="청산",DATE(YEAR($H151),MONTH($H151),1),"")</f>
        <v/>
      </c>
      <c r="T151" s="48"/>
      <c r="U151" s="49"/>
      <c r="V151" s="46" t="str">
        <f aca="false">IF($B151="","",IF($L151&lt;&gt;"청산",N(V150),IF($P151&gt;0,N(V150)+1,0)))</f>
        <v/>
      </c>
      <c r="W151" s="46" t="str">
        <f aca="false">IF($B151="","",IF($L151&lt;&gt;"청산",N(W150),IF($P151&lt;0,N(W150)+1,0)))</f>
        <v/>
      </c>
    </row>
    <row r="152" customFormat="false" ht="15" hidden="false" customHeight="false" outlineLevel="0" collapsed="false">
      <c r="A152" s="32" t="str">
        <f aca="false">IF($B152="","",ROW()-5)</f>
        <v/>
      </c>
      <c r="B152" s="48"/>
      <c r="C152" s="49"/>
      <c r="D152" s="50"/>
      <c r="E152" s="51"/>
      <c r="F152" s="52"/>
      <c r="G152" s="53"/>
      <c r="H152" s="50"/>
      <c r="I152" s="51"/>
      <c r="J152" s="53"/>
      <c r="K152" s="53"/>
      <c r="L152" s="39" t="str">
        <f aca="false">IF($B152="","",IF($H152="","보유중","청산"))</f>
        <v/>
      </c>
      <c r="M152" s="40" t="str">
        <f aca="false">IF($B152="","",$E152*$F152)</f>
        <v/>
      </c>
      <c r="N152" s="40" t="str">
        <f aca="false">IF($L152="청산",$I152*$F152,"")</f>
        <v/>
      </c>
      <c r="O152" s="40" t="str">
        <f aca="false">IF($B152="","",$G152+$J152+$K152)</f>
        <v/>
      </c>
      <c r="P152" s="41" t="str">
        <f aca="false">IF($L152="청산",$N152-$M152-$O152,"")</f>
        <v/>
      </c>
      <c r="Q152" s="42" t="str">
        <f aca="false">IF($L152="청산",IF($M152=0,"",$P152/$M152),"")</f>
        <v/>
      </c>
      <c r="R152" s="43" t="str">
        <f aca="true">IF($B152="","",IF($L152="청산",$H152-$D152,IF($D152="","",TODAY()-$D152)))</f>
        <v/>
      </c>
      <c r="S152" s="44" t="str">
        <f aca="false">IF($L152="청산",DATE(YEAR($H152),MONTH($H152),1),"")</f>
        <v/>
      </c>
      <c r="T152" s="48"/>
      <c r="U152" s="49"/>
      <c r="V152" s="46" t="str">
        <f aca="false">IF($B152="","",IF($L152&lt;&gt;"청산",N(V151),IF($P152&gt;0,N(V151)+1,0)))</f>
        <v/>
      </c>
      <c r="W152" s="46" t="str">
        <f aca="false">IF($B152="","",IF($L152&lt;&gt;"청산",N(W151),IF($P152&lt;0,N(W151)+1,0)))</f>
        <v/>
      </c>
    </row>
    <row r="153" customFormat="false" ht="15" hidden="false" customHeight="false" outlineLevel="0" collapsed="false">
      <c r="A153" s="32" t="str">
        <f aca="false">IF($B153="","",ROW()-5)</f>
        <v/>
      </c>
      <c r="B153" s="48"/>
      <c r="C153" s="49"/>
      <c r="D153" s="50"/>
      <c r="E153" s="51"/>
      <c r="F153" s="52"/>
      <c r="G153" s="53"/>
      <c r="H153" s="50"/>
      <c r="I153" s="51"/>
      <c r="J153" s="53"/>
      <c r="K153" s="53"/>
      <c r="L153" s="39" t="str">
        <f aca="false">IF($B153="","",IF($H153="","보유중","청산"))</f>
        <v/>
      </c>
      <c r="M153" s="40" t="str">
        <f aca="false">IF($B153="","",$E153*$F153)</f>
        <v/>
      </c>
      <c r="N153" s="40" t="str">
        <f aca="false">IF($L153="청산",$I153*$F153,"")</f>
        <v/>
      </c>
      <c r="O153" s="40" t="str">
        <f aca="false">IF($B153="","",$G153+$J153+$K153)</f>
        <v/>
      </c>
      <c r="P153" s="41" t="str">
        <f aca="false">IF($L153="청산",$N153-$M153-$O153,"")</f>
        <v/>
      </c>
      <c r="Q153" s="42" t="str">
        <f aca="false">IF($L153="청산",IF($M153=0,"",$P153/$M153),"")</f>
        <v/>
      </c>
      <c r="R153" s="43" t="str">
        <f aca="true">IF($B153="","",IF($L153="청산",$H153-$D153,IF($D153="","",TODAY()-$D153)))</f>
        <v/>
      </c>
      <c r="S153" s="44" t="str">
        <f aca="false">IF($L153="청산",DATE(YEAR($H153),MONTH($H153),1),"")</f>
        <v/>
      </c>
      <c r="T153" s="48"/>
      <c r="U153" s="49"/>
      <c r="V153" s="46" t="str">
        <f aca="false">IF($B153="","",IF($L153&lt;&gt;"청산",N(V152),IF($P153&gt;0,N(V152)+1,0)))</f>
        <v/>
      </c>
      <c r="W153" s="46" t="str">
        <f aca="false">IF($B153="","",IF($L153&lt;&gt;"청산",N(W152),IF($P153&lt;0,N(W152)+1,0)))</f>
        <v/>
      </c>
    </row>
    <row r="154" customFormat="false" ht="15" hidden="false" customHeight="false" outlineLevel="0" collapsed="false">
      <c r="A154" s="32" t="str">
        <f aca="false">IF($B154="","",ROW()-5)</f>
        <v/>
      </c>
      <c r="B154" s="48"/>
      <c r="C154" s="49"/>
      <c r="D154" s="50"/>
      <c r="E154" s="51"/>
      <c r="F154" s="52"/>
      <c r="G154" s="53"/>
      <c r="H154" s="50"/>
      <c r="I154" s="51"/>
      <c r="J154" s="53"/>
      <c r="K154" s="53"/>
      <c r="L154" s="39" t="str">
        <f aca="false">IF($B154="","",IF($H154="","보유중","청산"))</f>
        <v/>
      </c>
      <c r="M154" s="40" t="str">
        <f aca="false">IF($B154="","",$E154*$F154)</f>
        <v/>
      </c>
      <c r="N154" s="40" t="str">
        <f aca="false">IF($L154="청산",$I154*$F154,"")</f>
        <v/>
      </c>
      <c r="O154" s="40" t="str">
        <f aca="false">IF($B154="","",$G154+$J154+$K154)</f>
        <v/>
      </c>
      <c r="P154" s="41" t="str">
        <f aca="false">IF($L154="청산",$N154-$M154-$O154,"")</f>
        <v/>
      </c>
      <c r="Q154" s="42" t="str">
        <f aca="false">IF($L154="청산",IF($M154=0,"",$P154/$M154),"")</f>
        <v/>
      </c>
      <c r="R154" s="43" t="str">
        <f aca="true">IF($B154="","",IF($L154="청산",$H154-$D154,IF($D154="","",TODAY()-$D154)))</f>
        <v/>
      </c>
      <c r="S154" s="44" t="str">
        <f aca="false">IF($L154="청산",DATE(YEAR($H154),MONTH($H154),1),"")</f>
        <v/>
      </c>
      <c r="T154" s="48"/>
      <c r="U154" s="49"/>
      <c r="V154" s="46" t="str">
        <f aca="false">IF($B154="","",IF($L154&lt;&gt;"청산",N(V153),IF($P154&gt;0,N(V153)+1,0)))</f>
        <v/>
      </c>
      <c r="W154" s="46" t="str">
        <f aca="false">IF($B154="","",IF($L154&lt;&gt;"청산",N(W153),IF($P154&lt;0,N(W153)+1,0)))</f>
        <v/>
      </c>
    </row>
    <row r="155" customFormat="false" ht="15" hidden="false" customHeight="false" outlineLevel="0" collapsed="false">
      <c r="A155" s="32" t="str">
        <f aca="false">IF($B155="","",ROW()-5)</f>
        <v/>
      </c>
      <c r="B155" s="48"/>
      <c r="C155" s="49"/>
      <c r="D155" s="50"/>
      <c r="E155" s="51"/>
      <c r="F155" s="52"/>
      <c r="G155" s="53"/>
      <c r="H155" s="50"/>
      <c r="I155" s="51"/>
      <c r="J155" s="53"/>
      <c r="K155" s="53"/>
      <c r="L155" s="39" t="str">
        <f aca="false">IF($B155="","",IF($H155="","보유중","청산"))</f>
        <v/>
      </c>
      <c r="M155" s="40" t="str">
        <f aca="false">IF($B155="","",$E155*$F155)</f>
        <v/>
      </c>
      <c r="N155" s="40" t="str">
        <f aca="false">IF($L155="청산",$I155*$F155,"")</f>
        <v/>
      </c>
      <c r="O155" s="40" t="str">
        <f aca="false">IF($B155="","",$G155+$J155+$K155)</f>
        <v/>
      </c>
      <c r="P155" s="41" t="str">
        <f aca="false">IF($L155="청산",$N155-$M155-$O155,"")</f>
        <v/>
      </c>
      <c r="Q155" s="42" t="str">
        <f aca="false">IF($L155="청산",IF($M155=0,"",$P155/$M155),"")</f>
        <v/>
      </c>
      <c r="R155" s="43" t="str">
        <f aca="true">IF($B155="","",IF($L155="청산",$H155-$D155,IF($D155="","",TODAY()-$D155)))</f>
        <v/>
      </c>
      <c r="S155" s="44" t="str">
        <f aca="false">IF($L155="청산",DATE(YEAR($H155),MONTH($H155),1),"")</f>
        <v/>
      </c>
      <c r="T155" s="48"/>
      <c r="U155" s="49"/>
      <c r="V155" s="46" t="str">
        <f aca="false">IF($B155="","",IF($L155&lt;&gt;"청산",N(V154),IF($P155&gt;0,N(V154)+1,0)))</f>
        <v/>
      </c>
      <c r="W155" s="46" t="str">
        <f aca="false">IF($B155="","",IF($L155&lt;&gt;"청산",N(W154),IF($P155&lt;0,N(W154)+1,0)))</f>
        <v/>
      </c>
    </row>
    <row r="156" customFormat="false" ht="15" hidden="false" customHeight="false" outlineLevel="0" collapsed="false">
      <c r="A156" s="32" t="str">
        <f aca="false">IF($B156="","",ROW()-5)</f>
        <v/>
      </c>
      <c r="B156" s="48"/>
      <c r="C156" s="49"/>
      <c r="D156" s="50"/>
      <c r="E156" s="51"/>
      <c r="F156" s="52"/>
      <c r="G156" s="53"/>
      <c r="H156" s="50"/>
      <c r="I156" s="51"/>
      <c r="J156" s="53"/>
      <c r="K156" s="53"/>
      <c r="L156" s="39" t="str">
        <f aca="false">IF($B156="","",IF($H156="","보유중","청산"))</f>
        <v/>
      </c>
      <c r="M156" s="40" t="str">
        <f aca="false">IF($B156="","",$E156*$F156)</f>
        <v/>
      </c>
      <c r="N156" s="40" t="str">
        <f aca="false">IF($L156="청산",$I156*$F156,"")</f>
        <v/>
      </c>
      <c r="O156" s="40" t="str">
        <f aca="false">IF($B156="","",$G156+$J156+$K156)</f>
        <v/>
      </c>
      <c r="P156" s="41" t="str">
        <f aca="false">IF($L156="청산",$N156-$M156-$O156,"")</f>
        <v/>
      </c>
      <c r="Q156" s="42" t="str">
        <f aca="false">IF($L156="청산",IF($M156=0,"",$P156/$M156),"")</f>
        <v/>
      </c>
      <c r="R156" s="43" t="str">
        <f aca="true">IF($B156="","",IF($L156="청산",$H156-$D156,IF($D156="","",TODAY()-$D156)))</f>
        <v/>
      </c>
      <c r="S156" s="44" t="str">
        <f aca="false">IF($L156="청산",DATE(YEAR($H156),MONTH($H156),1),"")</f>
        <v/>
      </c>
      <c r="T156" s="48"/>
      <c r="U156" s="49"/>
      <c r="V156" s="46" t="str">
        <f aca="false">IF($B156="","",IF($L156&lt;&gt;"청산",N(V155),IF($P156&gt;0,N(V155)+1,0)))</f>
        <v/>
      </c>
      <c r="W156" s="46" t="str">
        <f aca="false">IF($B156="","",IF($L156&lt;&gt;"청산",N(W155),IF($P156&lt;0,N(W155)+1,0)))</f>
        <v/>
      </c>
    </row>
    <row r="157" customFormat="false" ht="15" hidden="false" customHeight="false" outlineLevel="0" collapsed="false">
      <c r="A157" s="32" t="str">
        <f aca="false">IF($B157="","",ROW()-5)</f>
        <v/>
      </c>
      <c r="B157" s="48"/>
      <c r="C157" s="49"/>
      <c r="D157" s="50"/>
      <c r="E157" s="51"/>
      <c r="F157" s="52"/>
      <c r="G157" s="53"/>
      <c r="H157" s="50"/>
      <c r="I157" s="51"/>
      <c r="J157" s="53"/>
      <c r="K157" s="53"/>
      <c r="L157" s="39" t="str">
        <f aca="false">IF($B157="","",IF($H157="","보유중","청산"))</f>
        <v/>
      </c>
      <c r="M157" s="40" t="str">
        <f aca="false">IF($B157="","",$E157*$F157)</f>
        <v/>
      </c>
      <c r="N157" s="40" t="str">
        <f aca="false">IF($L157="청산",$I157*$F157,"")</f>
        <v/>
      </c>
      <c r="O157" s="40" t="str">
        <f aca="false">IF($B157="","",$G157+$J157+$K157)</f>
        <v/>
      </c>
      <c r="P157" s="41" t="str">
        <f aca="false">IF($L157="청산",$N157-$M157-$O157,"")</f>
        <v/>
      </c>
      <c r="Q157" s="42" t="str">
        <f aca="false">IF($L157="청산",IF($M157=0,"",$P157/$M157),"")</f>
        <v/>
      </c>
      <c r="R157" s="43" t="str">
        <f aca="true">IF($B157="","",IF($L157="청산",$H157-$D157,IF($D157="","",TODAY()-$D157)))</f>
        <v/>
      </c>
      <c r="S157" s="44" t="str">
        <f aca="false">IF($L157="청산",DATE(YEAR($H157),MONTH($H157),1),"")</f>
        <v/>
      </c>
      <c r="T157" s="48"/>
      <c r="U157" s="49"/>
      <c r="V157" s="46" t="str">
        <f aca="false">IF($B157="","",IF($L157&lt;&gt;"청산",N(V156),IF($P157&gt;0,N(V156)+1,0)))</f>
        <v/>
      </c>
      <c r="W157" s="46" t="str">
        <f aca="false">IF($B157="","",IF($L157&lt;&gt;"청산",N(W156),IF($P157&lt;0,N(W156)+1,0)))</f>
        <v/>
      </c>
    </row>
    <row r="158" customFormat="false" ht="15" hidden="false" customHeight="false" outlineLevel="0" collapsed="false">
      <c r="A158" s="32" t="str">
        <f aca="false">IF($B158="","",ROW()-5)</f>
        <v/>
      </c>
      <c r="B158" s="48"/>
      <c r="C158" s="49"/>
      <c r="D158" s="50"/>
      <c r="E158" s="51"/>
      <c r="F158" s="52"/>
      <c r="G158" s="53"/>
      <c r="H158" s="50"/>
      <c r="I158" s="51"/>
      <c r="J158" s="53"/>
      <c r="K158" s="53"/>
      <c r="L158" s="39" t="str">
        <f aca="false">IF($B158="","",IF($H158="","보유중","청산"))</f>
        <v/>
      </c>
      <c r="M158" s="40" t="str">
        <f aca="false">IF($B158="","",$E158*$F158)</f>
        <v/>
      </c>
      <c r="N158" s="40" t="str">
        <f aca="false">IF($L158="청산",$I158*$F158,"")</f>
        <v/>
      </c>
      <c r="O158" s="40" t="str">
        <f aca="false">IF($B158="","",$G158+$J158+$K158)</f>
        <v/>
      </c>
      <c r="P158" s="41" t="str">
        <f aca="false">IF($L158="청산",$N158-$M158-$O158,"")</f>
        <v/>
      </c>
      <c r="Q158" s="42" t="str">
        <f aca="false">IF($L158="청산",IF($M158=0,"",$P158/$M158),"")</f>
        <v/>
      </c>
      <c r="R158" s="43" t="str">
        <f aca="true">IF($B158="","",IF($L158="청산",$H158-$D158,IF($D158="","",TODAY()-$D158)))</f>
        <v/>
      </c>
      <c r="S158" s="44" t="str">
        <f aca="false">IF($L158="청산",DATE(YEAR($H158),MONTH($H158),1),"")</f>
        <v/>
      </c>
      <c r="T158" s="48"/>
      <c r="U158" s="49"/>
      <c r="V158" s="46" t="str">
        <f aca="false">IF($B158="","",IF($L158&lt;&gt;"청산",N(V157),IF($P158&gt;0,N(V157)+1,0)))</f>
        <v/>
      </c>
      <c r="W158" s="46" t="str">
        <f aca="false">IF($B158="","",IF($L158&lt;&gt;"청산",N(W157),IF($P158&lt;0,N(W157)+1,0)))</f>
        <v/>
      </c>
    </row>
    <row r="159" customFormat="false" ht="15" hidden="false" customHeight="false" outlineLevel="0" collapsed="false">
      <c r="A159" s="32" t="str">
        <f aca="false">IF($B159="","",ROW()-5)</f>
        <v/>
      </c>
      <c r="B159" s="48"/>
      <c r="C159" s="49"/>
      <c r="D159" s="50"/>
      <c r="E159" s="51"/>
      <c r="F159" s="52"/>
      <c r="G159" s="53"/>
      <c r="H159" s="50"/>
      <c r="I159" s="51"/>
      <c r="J159" s="53"/>
      <c r="K159" s="53"/>
      <c r="L159" s="39" t="str">
        <f aca="false">IF($B159="","",IF($H159="","보유중","청산"))</f>
        <v/>
      </c>
      <c r="M159" s="40" t="str">
        <f aca="false">IF($B159="","",$E159*$F159)</f>
        <v/>
      </c>
      <c r="N159" s="40" t="str">
        <f aca="false">IF($L159="청산",$I159*$F159,"")</f>
        <v/>
      </c>
      <c r="O159" s="40" t="str">
        <f aca="false">IF($B159="","",$G159+$J159+$K159)</f>
        <v/>
      </c>
      <c r="P159" s="41" t="str">
        <f aca="false">IF($L159="청산",$N159-$M159-$O159,"")</f>
        <v/>
      </c>
      <c r="Q159" s="42" t="str">
        <f aca="false">IF($L159="청산",IF($M159=0,"",$P159/$M159),"")</f>
        <v/>
      </c>
      <c r="R159" s="43" t="str">
        <f aca="true">IF($B159="","",IF($L159="청산",$H159-$D159,IF($D159="","",TODAY()-$D159)))</f>
        <v/>
      </c>
      <c r="S159" s="44" t="str">
        <f aca="false">IF($L159="청산",DATE(YEAR($H159),MONTH($H159),1),"")</f>
        <v/>
      </c>
      <c r="T159" s="48"/>
      <c r="U159" s="49"/>
      <c r="V159" s="46" t="str">
        <f aca="false">IF($B159="","",IF($L159&lt;&gt;"청산",N(V158),IF($P159&gt;0,N(V158)+1,0)))</f>
        <v/>
      </c>
      <c r="W159" s="46" t="str">
        <f aca="false">IF($B159="","",IF($L159&lt;&gt;"청산",N(W158),IF($P159&lt;0,N(W158)+1,0)))</f>
        <v/>
      </c>
    </row>
    <row r="160" customFormat="false" ht="15" hidden="false" customHeight="false" outlineLevel="0" collapsed="false">
      <c r="A160" s="32" t="str">
        <f aca="false">IF($B160="","",ROW()-5)</f>
        <v/>
      </c>
      <c r="B160" s="48"/>
      <c r="C160" s="49"/>
      <c r="D160" s="50"/>
      <c r="E160" s="51"/>
      <c r="F160" s="52"/>
      <c r="G160" s="53"/>
      <c r="H160" s="50"/>
      <c r="I160" s="51"/>
      <c r="J160" s="53"/>
      <c r="K160" s="53"/>
      <c r="L160" s="39" t="str">
        <f aca="false">IF($B160="","",IF($H160="","보유중","청산"))</f>
        <v/>
      </c>
      <c r="M160" s="40" t="str">
        <f aca="false">IF($B160="","",$E160*$F160)</f>
        <v/>
      </c>
      <c r="N160" s="40" t="str">
        <f aca="false">IF($L160="청산",$I160*$F160,"")</f>
        <v/>
      </c>
      <c r="O160" s="40" t="str">
        <f aca="false">IF($B160="","",$G160+$J160+$K160)</f>
        <v/>
      </c>
      <c r="P160" s="41" t="str">
        <f aca="false">IF($L160="청산",$N160-$M160-$O160,"")</f>
        <v/>
      </c>
      <c r="Q160" s="42" t="str">
        <f aca="false">IF($L160="청산",IF($M160=0,"",$P160/$M160),"")</f>
        <v/>
      </c>
      <c r="R160" s="43" t="str">
        <f aca="true">IF($B160="","",IF($L160="청산",$H160-$D160,IF($D160="","",TODAY()-$D160)))</f>
        <v/>
      </c>
      <c r="S160" s="44" t="str">
        <f aca="false">IF($L160="청산",DATE(YEAR($H160),MONTH($H160),1),"")</f>
        <v/>
      </c>
      <c r="T160" s="48"/>
      <c r="U160" s="49"/>
      <c r="V160" s="46" t="str">
        <f aca="false">IF($B160="","",IF($L160&lt;&gt;"청산",N(V159),IF($P160&gt;0,N(V159)+1,0)))</f>
        <v/>
      </c>
      <c r="W160" s="46" t="str">
        <f aca="false">IF($B160="","",IF($L160&lt;&gt;"청산",N(W159),IF($P160&lt;0,N(W159)+1,0)))</f>
        <v/>
      </c>
    </row>
    <row r="161" customFormat="false" ht="15" hidden="false" customHeight="false" outlineLevel="0" collapsed="false">
      <c r="A161" s="32" t="str">
        <f aca="false">IF($B161="","",ROW()-5)</f>
        <v/>
      </c>
      <c r="B161" s="48"/>
      <c r="C161" s="49"/>
      <c r="D161" s="50"/>
      <c r="E161" s="51"/>
      <c r="F161" s="52"/>
      <c r="G161" s="53"/>
      <c r="H161" s="50"/>
      <c r="I161" s="51"/>
      <c r="J161" s="53"/>
      <c r="K161" s="53"/>
      <c r="L161" s="39" t="str">
        <f aca="false">IF($B161="","",IF($H161="","보유중","청산"))</f>
        <v/>
      </c>
      <c r="M161" s="40" t="str">
        <f aca="false">IF($B161="","",$E161*$F161)</f>
        <v/>
      </c>
      <c r="N161" s="40" t="str">
        <f aca="false">IF($L161="청산",$I161*$F161,"")</f>
        <v/>
      </c>
      <c r="O161" s="40" t="str">
        <f aca="false">IF($B161="","",$G161+$J161+$K161)</f>
        <v/>
      </c>
      <c r="P161" s="41" t="str">
        <f aca="false">IF($L161="청산",$N161-$M161-$O161,"")</f>
        <v/>
      </c>
      <c r="Q161" s="42" t="str">
        <f aca="false">IF($L161="청산",IF($M161=0,"",$P161/$M161),"")</f>
        <v/>
      </c>
      <c r="R161" s="43" t="str">
        <f aca="true">IF($B161="","",IF($L161="청산",$H161-$D161,IF($D161="","",TODAY()-$D161)))</f>
        <v/>
      </c>
      <c r="S161" s="44" t="str">
        <f aca="false">IF($L161="청산",DATE(YEAR($H161),MONTH($H161),1),"")</f>
        <v/>
      </c>
      <c r="T161" s="48"/>
      <c r="U161" s="49"/>
      <c r="V161" s="46" t="str">
        <f aca="false">IF($B161="","",IF($L161&lt;&gt;"청산",N(V160),IF($P161&gt;0,N(V160)+1,0)))</f>
        <v/>
      </c>
      <c r="W161" s="46" t="str">
        <f aca="false">IF($B161="","",IF($L161&lt;&gt;"청산",N(W160),IF($P161&lt;0,N(W160)+1,0)))</f>
        <v/>
      </c>
    </row>
    <row r="162" customFormat="false" ht="15" hidden="false" customHeight="false" outlineLevel="0" collapsed="false">
      <c r="A162" s="32" t="str">
        <f aca="false">IF($B162="","",ROW()-5)</f>
        <v/>
      </c>
      <c r="B162" s="48"/>
      <c r="C162" s="49"/>
      <c r="D162" s="50"/>
      <c r="E162" s="51"/>
      <c r="F162" s="52"/>
      <c r="G162" s="53"/>
      <c r="H162" s="50"/>
      <c r="I162" s="51"/>
      <c r="J162" s="53"/>
      <c r="K162" s="53"/>
      <c r="L162" s="39" t="str">
        <f aca="false">IF($B162="","",IF($H162="","보유중","청산"))</f>
        <v/>
      </c>
      <c r="M162" s="40" t="str">
        <f aca="false">IF($B162="","",$E162*$F162)</f>
        <v/>
      </c>
      <c r="N162" s="40" t="str">
        <f aca="false">IF($L162="청산",$I162*$F162,"")</f>
        <v/>
      </c>
      <c r="O162" s="40" t="str">
        <f aca="false">IF($B162="","",$G162+$J162+$K162)</f>
        <v/>
      </c>
      <c r="P162" s="41" t="str">
        <f aca="false">IF($L162="청산",$N162-$M162-$O162,"")</f>
        <v/>
      </c>
      <c r="Q162" s="42" t="str">
        <f aca="false">IF($L162="청산",IF($M162=0,"",$P162/$M162),"")</f>
        <v/>
      </c>
      <c r="R162" s="43" t="str">
        <f aca="true">IF($B162="","",IF($L162="청산",$H162-$D162,IF($D162="","",TODAY()-$D162)))</f>
        <v/>
      </c>
      <c r="S162" s="44" t="str">
        <f aca="false">IF($L162="청산",DATE(YEAR($H162),MONTH($H162),1),"")</f>
        <v/>
      </c>
      <c r="T162" s="48"/>
      <c r="U162" s="49"/>
      <c r="V162" s="46" t="str">
        <f aca="false">IF($B162="","",IF($L162&lt;&gt;"청산",N(V161),IF($P162&gt;0,N(V161)+1,0)))</f>
        <v/>
      </c>
      <c r="W162" s="46" t="str">
        <f aca="false">IF($B162="","",IF($L162&lt;&gt;"청산",N(W161),IF($P162&lt;0,N(W161)+1,0)))</f>
        <v/>
      </c>
    </row>
    <row r="163" customFormat="false" ht="15" hidden="false" customHeight="false" outlineLevel="0" collapsed="false">
      <c r="A163" s="32" t="str">
        <f aca="false">IF($B163="","",ROW()-5)</f>
        <v/>
      </c>
      <c r="B163" s="48"/>
      <c r="C163" s="49"/>
      <c r="D163" s="50"/>
      <c r="E163" s="51"/>
      <c r="F163" s="52"/>
      <c r="G163" s="53"/>
      <c r="H163" s="50"/>
      <c r="I163" s="51"/>
      <c r="J163" s="53"/>
      <c r="K163" s="53"/>
      <c r="L163" s="39" t="str">
        <f aca="false">IF($B163="","",IF($H163="","보유중","청산"))</f>
        <v/>
      </c>
      <c r="M163" s="40" t="str">
        <f aca="false">IF($B163="","",$E163*$F163)</f>
        <v/>
      </c>
      <c r="N163" s="40" t="str">
        <f aca="false">IF($L163="청산",$I163*$F163,"")</f>
        <v/>
      </c>
      <c r="O163" s="40" t="str">
        <f aca="false">IF($B163="","",$G163+$J163+$K163)</f>
        <v/>
      </c>
      <c r="P163" s="41" t="str">
        <f aca="false">IF($L163="청산",$N163-$M163-$O163,"")</f>
        <v/>
      </c>
      <c r="Q163" s="42" t="str">
        <f aca="false">IF($L163="청산",IF($M163=0,"",$P163/$M163),"")</f>
        <v/>
      </c>
      <c r="R163" s="43" t="str">
        <f aca="true">IF($B163="","",IF($L163="청산",$H163-$D163,IF($D163="","",TODAY()-$D163)))</f>
        <v/>
      </c>
      <c r="S163" s="44" t="str">
        <f aca="false">IF($L163="청산",DATE(YEAR($H163),MONTH($H163),1),"")</f>
        <v/>
      </c>
      <c r="T163" s="48"/>
      <c r="U163" s="49"/>
      <c r="V163" s="46" t="str">
        <f aca="false">IF($B163="","",IF($L163&lt;&gt;"청산",N(V162),IF($P163&gt;0,N(V162)+1,0)))</f>
        <v/>
      </c>
      <c r="W163" s="46" t="str">
        <f aca="false">IF($B163="","",IF($L163&lt;&gt;"청산",N(W162),IF($P163&lt;0,N(W162)+1,0)))</f>
        <v/>
      </c>
    </row>
    <row r="164" customFormat="false" ht="15" hidden="false" customHeight="false" outlineLevel="0" collapsed="false">
      <c r="A164" s="32" t="str">
        <f aca="false">IF($B164="","",ROW()-5)</f>
        <v/>
      </c>
      <c r="B164" s="48"/>
      <c r="C164" s="49"/>
      <c r="D164" s="50"/>
      <c r="E164" s="51"/>
      <c r="F164" s="52"/>
      <c r="G164" s="53"/>
      <c r="H164" s="50"/>
      <c r="I164" s="51"/>
      <c r="J164" s="53"/>
      <c r="K164" s="53"/>
      <c r="L164" s="39" t="str">
        <f aca="false">IF($B164="","",IF($H164="","보유중","청산"))</f>
        <v/>
      </c>
      <c r="M164" s="40" t="str">
        <f aca="false">IF($B164="","",$E164*$F164)</f>
        <v/>
      </c>
      <c r="N164" s="40" t="str">
        <f aca="false">IF($L164="청산",$I164*$F164,"")</f>
        <v/>
      </c>
      <c r="O164" s="40" t="str">
        <f aca="false">IF($B164="","",$G164+$J164+$K164)</f>
        <v/>
      </c>
      <c r="P164" s="41" t="str">
        <f aca="false">IF($L164="청산",$N164-$M164-$O164,"")</f>
        <v/>
      </c>
      <c r="Q164" s="42" t="str">
        <f aca="false">IF($L164="청산",IF($M164=0,"",$P164/$M164),"")</f>
        <v/>
      </c>
      <c r="R164" s="43" t="str">
        <f aca="true">IF($B164="","",IF($L164="청산",$H164-$D164,IF($D164="","",TODAY()-$D164)))</f>
        <v/>
      </c>
      <c r="S164" s="44" t="str">
        <f aca="false">IF($L164="청산",DATE(YEAR($H164),MONTH($H164),1),"")</f>
        <v/>
      </c>
      <c r="T164" s="48"/>
      <c r="U164" s="49"/>
      <c r="V164" s="46" t="str">
        <f aca="false">IF($B164="","",IF($L164&lt;&gt;"청산",N(V163),IF($P164&gt;0,N(V163)+1,0)))</f>
        <v/>
      </c>
      <c r="W164" s="46" t="str">
        <f aca="false">IF($B164="","",IF($L164&lt;&gt;"청산",N(W163),IF($P164&lt;0,N(W163)+1,0)))</f>
        <v/>
      </c>
    </row>
    <row r="165" customFormat="false" ht="15" hidden="false" customHeight="false" outlineLevel="0" collapsed="false">
      <c r="A165" s="32" t="str">
        <f aca="false">IF($B165="","",ROW()-5)</f>
        <v/>
      </c>
      <c r="B165" s="48"/>
      <c r="C165" s="49"/>
      <c r="D165" s="50"/>
      <c r="E165" s="51"/>
      <c r="F165" s="52"/>
      <c r="G165" s="53"/>
      <c r="H165" s="50"/>
      <c r="I165" s="51"/>
      <c r="J165" s="53"/>
      <c r="K165" s="53"/>
      <c r="L165" s="39" t="str">
        <f aca="false">IF($B165="","",IF($H165="","보유중","청산"))</f>
        <v/>
      </c>
      <c r="M165" s="40" t="str">
        <f aca="false">IF($B165="","",$E165*$F165)</f>
        <v/>
      </c>
      <c r="N165" s="40" t="str">
        <f aca="false">IF($L165="청산",$I165*$F165,"")</f>
        <v/>
      </c>
      <c r="O165" s="40" t="str">
        <f aca="false">IF($B165="","",$G165+$J165+$K165)</f>
        <v/>
      </c>
      <c r="P165" s="41" t="str">
        <f aca="false">IF($L165="청산",$N165-$M165-$O165,"")</f>
        <v/>
      </c>
      <c r="Q165" s="42" t="str">
        <f aca="false">IF($L165="청산",IF($M165=0,"",$P165/$M165),"")</f>
        <v/>
      </c>
      <c r="R165" s="43" t="str">
        <f aca="true">IF($B165="","",IF($L165="청산",$H165-$D165,IF($D165="","",TODAY()-$D165)))</f>
        <v/>
      </c>
      <c r="S165" s="44" t="str">
        <f aca="false">IF($L165="청산",DATE(YEAR($H165),MONTH($H165),1),"")</f>
        <v/>
      </c>
      <c r="T165" s="48"/>
      <c r="U165" s="49"/>
      <c r="V165" s="46" t="str">
        <f aca="false">IF($B165="","",IF($L165&lt;&gt;"청산",N(V164),IF($P165&gt;0,N(V164)+1,0)))</f>
        <v/>
      </c>
      <c r="W165" s="46" t="str">
        <f aca="false">IF($B165="","",IF($L165&lt;&gt;"청산",N(W164),IF($P165&lt;0,N(W164)+1,0)))</f>
        <v/>
      </c>
    </row>
    <row r="166" customFormat="false" ht="15" hidden="false" customHeight="false" outlineLevel="0" collapsed="false">
      <c r="A166" s="32" t="str">
        <f aca="false">IF($B166="","",ROW()-5)</f>
        <v/>
      </c>
      <c r="B166" s="48"/>
      <c r="C166" s="49"/>
      <c r="D166" s="50"/>
      <c r="E166" s="51"/>
      <c r="F166" s="52"/>
      <c r="G166" s="53"/>
      <c r="H166" s="50"/>
      <c r="I166" s="51"/>
      <c r="J166" s="53"/>
      <c r="K166" s="53"/>
      <c r="L166" s="39" t="str">
        <f aca="false">IF($B166="","",IF($H166="","보유중","청산"))</f>
        <v/>
      </c>
      <c r="M166" s="40" t="str">
        <f aca="false">IF($B166="","",$E166*$F166)</f>
        <v/>
      </c>
      <c r="N166" s="40" t="str">
        <f aca="false">IF($L166="청산",$I166*$F166,"")</f>
        <v/>
      </c>
      <c r="O166" s="40" t="str">
        <f aca="false">IF($B166="","",$G166+$J166+$K166)</f>
        <v/>
      </c>
      <c r="P166" s="41" t="str">
        <f aca="false">IF($L166="청산",$N166-$M166-$O166,"")</f>
        <v/>
      </c>
      <c r="Q166" s="42" t="str">
        <f aca="false">IF($L166="청산",IF($M166=0,"",$P166/$M166),"")</f>
        <v/>
      </c>
      <c r="R166" s="43" t="str">
        <f aca="true">IF($B166="","",IF($L166="청산",$H166-$D166,IF($D166="","",TODAY()-$D166)))</f>
        <v/>
      </c>
      <c r="S166" s="44" t="str">
        <f aca="false">IF($L166="청산",DATE(YEAR($H166),MONTH($H166),1),"")</f>
        <v/>
      </c>
      <c r="T166" s="48"/>
      <c r="U166" s="49"/>
      <c r="V166" s="46" t="str">
        <f aca="false">IF($B166="","",IF($L166&lt;&gt;"청산",N(V165),IF($P166&gt;0,N(V165)+1,0)))</f>
        <v/>
      </c>
      <c r="W166" s="46" t="str">
        <f aca="false">IF($B166="","",IF($L166&lt;&gt;"청산",N(W165),IF($P166&lt;0,N(W165)+1,0)))</f>
        <v/>
      </c>
    </row>
    <row r="167" customFormat="false" ht="15" hidden="false" customHeight="false" outlineLevel="0" collapsed="false">
      <c r="A167" s="32" t="str">
        <f aca="false">IF($B167="","",ROW()-5)</f>
        <v/>
      </c>
      <c r="B167" s="48"/>
      <c r="C167" s="49"/>
      <c r="D167" s="50"/>
      <c r="E167" s="51"/>
      <c r="F167" s="52"/>
      <c r="G167" s="53"/>
      <c r="H167" s="50"/>
      <c r="I167" s="51"/>
      <c r="J167" s="53"/>
      <c r="K167" s="53"/>
      <c r="L167" s="39" t="str">
        <f aca="false">IF($B167="","",IF($H167="","보유중","청산"))</f>
        <v/>
      </c>
      <c r="M167" s="40" t="str">
        <f aca="false">IF($B167="","",$E167*$F167)</f>
        <v/>
      </c>
      <c r="N167" s="40" t="str">
        <f aca="false">IF($L167="청산",$I167*$F167,"")</f>
        <v/>
      </c>
      <c r="O167" s="40" t="str">
        <f aca="false">IF($B167="","",$G167+$J167+$K167)</f>
        <v/>
      </c>
      <c r="P167" s="41" t="str">
        <f aca="false">IF($L167="청산",$N167-$M167-$O167,"")</f>
        <v/>
      </c>
      <c r="Q167" s="42" t="str">
        <f aca="false">IF($L167="청산",IF($M167=0,"",$P167/$M167),"")</f>
        <v/>
      </c>
      <c r="R167" s="43" t="str">
        <f aca="true">IF($B167="","",IF($L167="청산",$H167-$D167,IF($D167="","",TODAY()-$D167)))</f>
        <v/>
      </c>
      <c r="S167" s="44" t="str">
        <f aca="false">IF($L167="청산",DATE(YEAR($H167),MONTH($H167),1),"")</f>
        <v/>
      </c>
      <c r="T167" s="48"/>
      <c r="U167" s="49"/>
      <c r="V167" s="46" t="str">
        <f aca="false">IF($B167="","",IF($L167&lt;&gt;"청산",N(V166),IF($P167&gt;0,N(V166)+1,0)))</f>
        <v/>
      </c>
      <c r="W167" s="46" t="str">
        <f aca="false">IF($B167="","",IF($L167&lt;&gt;"청산",N(W166),IF($P167&lt;0,N(W166)+1,0)))</f>
        <v/>
      </c>
    </row>
    <row r="168" customFormat="false" ht="15" hidden="false" customHeight="false" outlineLevel="0" collapsed="false">
      <c r="A168" s="32" t="str">
        <f aca="false">IF($B168="","",ROW()-5)</f>
        <v/>
      </c>
      <c r="B168" s="48"/>
      <c r="C168" s="49"/>
      <c r="D168" s="50"/>
      <c r="E168" s="51"/>
      <c r="F168" s="52"/>
      <c r="G168" s="53"/>
      <c r="H168" s="50"/>
      <c r="I168" s="51"/>
      <c r="J168" s="53"/>
      <c r="K168" s="53"/>
      <c r="L168" s="39" t="str">
        <f aca="false">IF($B168="","",IF($H168="","보유중","청산"))</f>
        <v/>
      </c>
      <c r="M168" s="40" t="str">
        <f aca="false">IF($B168="","",$E168*$F168)</f>
        <v/>
      </c>
      <c r="N168" s="40" t="str">
        <f aca="false">IF($L168="청산",$I168*$F168,"")</f>
        <v/>
      </c>
      <c r="O168" s="40" t="str">
        <f aca="false">IF($B168="","",$G168+$J168+$K168)</f>
        <v/>
      </c>
      <c r="P168" s="41" t="str">
        <f aca="false">IF($L168="청산",$N168-$M168-$O168,"")</f>
        <v/>
      </c>
      <c r="Q168" s="42" t="str">
        <f aca="false">IF($L168="청산",IF($M168=0,"",$P168/$M168),"")</f>
        <v/>
      </c>
      <c r="R168" s="43" t="str">
        <f aca="true">IF($B168="","",IF($L168="청산",$H168-$D168,IF($D168="","",TODAY()-$D168)))</f>
        <v/>
      </c>
      <c r="S168" s="44" t="str">
        <f aca="false">IF($L168="청산",DATE(YEAR($H168),MONTH($H168),1),"")</f>
        <v/>
      </c>
      <c r="T168" s="48"/>
      <c r="U168" s="49"/>
      <c r="V168" s="46" t="str">
        <f aca="false">IF($B168="","",IF($L168&lt;&gt;"청산",N(V167),IF($P168&gt;0,N(V167)+1,0)))</f>
        <v/>
      </c>
      <c r="W168" s="46" t="str">
        <f aca="false">IF($B168="","",IF($L168&lt;&gt;"청산",N(W167),IF($P168&lt;0,N(W167)+1,0)))</f>
        <v/>
      </c>
    </row>
    <row r="169" customFormat="false" ht="15" hidden="false" customHeight="false" outlineLevel="0" collapsed="false">
      <c r="A169" s="32" t="str">
        <f aca="false">IF($B169="","",ROW()-5)</f>
        <v/>
      </c>
      <c r="B169" s="48"/>
      <c r="C169" s="49"/>
      <c r="D169" s="50"/>
      <c r="E169" s="51"/>
      <c r="F169" s="52"/>
      <c r="G169" s="53"/>
      <c r="H169" s="50"/>
      <c r="I169" s="51"/>
      <c r="J169" s="53"/>
      <c r="K169" s="53"/>
      <c r="L169" s="39" t="str">
        <f aca="false">IF($B169="","",IF($H169="","보유중","청산"))</f>
        <v/>
      </c>
      <c r="M169" s="40" t="str">
        <f aca="false">IF($B169="","",$E169*$F169)</f>
        <v/>
      </c>
      <c r="N169" s="40" t="str">
        <f aca="false">IF($L169="청산",$I169*$F169,"")</f>
        <v/>
      </c>
      <c r="O169" s="40" t="str">
        <f aca="false">IF($B169="","",$G169+$J169+$K169)</f>
        <v/>
      </c>
      <c r="P169" s="41" t="str">
        <f aca="false">IF($L169="청산",$N169-$M169-$O169,"")</f>
        <v/>
      </c>
      <c r="Q169" s="42" t="str">
        <f aca="false">IF($L169="청산",IF($M169=0,"",$P169/$M169),"")</f>
        <v/>
      </c>
      <c r="R169" s="43" t="str">
        <f aca="true">IF($B169="","",IF($L169="청산",$H169-$D169,IF($D169="","",TODAY()-$D169)))</f>
        <v/>
      </c>
      <c r="S169" s="44" t="str">
        <f aca="false">IF($L169="청산",DATE(YEAR($H169),MONTH($H169),1),"")</f>
        <v/>
      </c>
      <c r="T169" s="48"/>
      <c r="U169" s="49"/>
      <c r="V169" s="46" t="str">
        <f aca="false">IF($B169="","",IF($L169&lt;&gt;"청산",N(V168),IF($P169&gt;0,N(V168)+1,0)))</f>
        <v/>
      </c>
      <c r="W169" s="46" t="str">
        <f aca="false">IF($B169="","",IF($L169&lt;&gt;"청산",N(W168),IF($P169&lt;0,N(W168)+1,0)))</f>
        <v/>
      </c>
    </row>
    <row r="170" customFormat="false" ht="15" hidden="false" customHeight="false" outlineLevel="0" collapsed="false">
      <c r="A170" s="32" t="str">
        <f aca="false">IF($B170="","",ROW()-5)</f>
        <v/>
      </c>
      <c r="B170" s="48"/>
      <c r="C170" s="49"/>
      <c r="D170" s="50"/>
      <c r="E170" s="51"/>
      <c r="F170" s="52"/>
      <c r="G170" s="53"/>
      <c r="H170" s="50"/>
      <c r="I170" s="51"/>
      <c r="J170" s="53"/>
      <c r="K170" s="53"/>
      <c r="L170" s="39" t="str">
        <f aca="false">IF($B170="","",IF($H170="","보유중","청산"))</f>
        <v/>
      </c>
      <c r="M170" s="40" t="str">
        <f aca="false">IF($B170="","",$E170*$F170)</f>
        <v/>
      </c>
      <c r="N170" s="40" t="str">
        <f aca="false">IF($L170="청산",$I170*$F170,"")</f>
        <v/>
      </c>
      <c r="O170" s="40" t="str">
        <f aca="false">IF($B170="","",$G170+$J170+$K170)</f>
        <v/>
      </c>
      <c r="P170" s="41" t="str">
        <f aca="false">IF($L170="청산",$N170-$M170-$O170,"")</f>
        <v/>
      </c>
      <c r="Q170" s="42" t="str">
        <f aca="false">IF($L170="청산",IF($M170=0,"",$P170/$M170),"")</f>
        <v/>
      </c>
      <c r="R170" s="43" t="str">
        <f aca="true">IF($B170="","",IF($L170="청산",$H170-$D170,IF($D170="","",TODAY()-$D170)))</f>
        <v/>
      </c>
      <c r="S170" s="44" t="str">
        <f aca="false">IF($L170="청산",DATE(YEAR($H170),MONTH($H170),1),"")</f>
        <v/>
      </c>
      <c r="T170" s="48"/>
      <c r="U170" s="49"/>
      <c r="V170" s="46" t="str">
        <f aca="false">IF($B170="","",IF($L170&lt;&gt;"청산",N(V169),IF($P170&gt;0,N(V169)+1,0)))</f>
        <v/>
      </c>
      <c r="W170" s="46" t="str">
        <f aca="false">IF($B170="","",IF($L170&lt;&gt;"청산",N(W169),IF($P170&lt;0,N(W169)+1,0)))</f>
        <v/>
      </c>
    </row>
    <row r="171" customFormat="false" ht="15" hidden="false" customHeight="false" outlineLevel="0" collapsed="false">
      <c r="A171" s="32" t="str">
        <f aca="false">IF($B171="","",ROW()-5)</f>
        <v/>
      </c>
      <c r="B171" s="48"/>
      <c r="C171" s="49"/>
      <c r="D171" s="50"/>
      <c r="E171" s="51"/>
      <c r="F171" s="52"/>
      <c r="G171" s="53"/>
      <c r="H171" s="50"/>
      <c r="I171" s="51"/>
      <c r="J171" s="53"/>
      <c r="K171" s="53"/>
      <c r="L171" s="39" t="str">
        <f aca="false">IF($B171="","",IF($H171="","보유중","청산"))</f>
        <v/>
      </c>
      <c r="M171" s="40" t="str">
        <f aca="false">IF($B171="","",$E171*$F171)</f>
        <v/>
      </c>
      <c r="N171" s="40" t="str">
        <f aca="false">IF($L171="청산",$I171*$F171,"")</f>
        <v/>
      </c>
      <c r="O171" s="40" t="str">
        <f aca="false">IF($B171="","",$G171+$J171+$K171)</f>
        <v/>
      </c>
      <c r="P171" s="41" t="str">
        <f aca="false">IF($L171="청산",$N171-$M171-$O171,"")</f>
        <v/>
      </c>
      <c r="Q171" s="42" t="str">
        <f aca="false">IF($L171="청산",IF($M171=0,"",$P171/$M171),"")</f>
        <v/>
      </c>
      <c r="R171" s="43" t="str">
        <f aca="true">IF($B171="","",IF($L171="청산",$H171-$D171,IF($D171="","",TODAY()-$D171)))</f>
        <v/>
      </c>
      <c r="S171" s="44" t="str">
        <f aca="false">IF($L171="청산",DATE(YEAR($H171),MONTH($H171),1),"")</f>
        <v/>
      </c>
      <c r="T171" s="48"/>
      <c r="U171" s="49"/>
      <c r="V171" s="46" t="str">
        <f aca="false">IF($B171="","",IF($L171&lt;&gt;"청산",N(V170),IF($P171&gt;0,N(V170)+1,0)))</f>
        <v/>
      </c>
      <c r="W171" s="46" t="str">
        <f aca="false">IF($B171="","",IF($L171&lt;&gt;"청산",N(W170),IF($P171&lt;0,N(W170)+1,0)))</f>
        <v/>
      </c>
    </row>
    <row r="172" customFormat="false" ht="15" hidden="false" customHeight="false" outlineLevel="0" collapsed="false">
      <c r="A172" s="32" t="str">
        <f aca="false">IF($B172="","",ROW()-5)</f>
        <v/>
      </c>
      <c r="B172" s="48"/>
      <c r="C172" s="49"/>
      <c r="D172" s="50"/>
      <c r="E172" s="51"/>
      <c r="F172" s="52"/>
      <c r="G172" s="53"/>
      <c r="H172" s="50"/>
      <c r="I172" s="51"/>
      <c r="J172" s="53"/>
      <c r="K172" s="53"/>
      <c r="L172" s="39" t="str">
        <f aca="false">IF($B172="","",IF($H172="","보유중","청산"))</f>
        <v/>
      </c>
      <c r="M172" s="40" t="str">
        <f aca="false">IF($B172="","",$E172*$F172)</f>
        <v/>
      </c>
      <c r="N172" s="40" t="str">
        <f aca="false">IF($L172="청산",$I172*$F172,"")</f>
        <v/>
      </c>
      <c r="O172" s="40" t="str">
        <f aca="false">IF($B172="","",$G172+$J172+$K172)</f>
        <v/>
      </c>
      <c r="P172" s="41" t="str">
        <f aca="false">IF($L172="청산",$N172-$M172-$O172,"")</f>
        <v/>
      </c>
      <c r="Q172" s="42" t="str">
        <f aca="false">IF($L172="청산",IF($M172=0,"",$P172/$M172),"")</f>
        <v/>
      </c>
      <c r="R172" s="43" t="str">
        <f aca="true">IF($B172="","",IF($L172="청산",$H172-$D172,IF($D172="","",TODAY()-$D172)))</f>
        <v/>
      </c>
      <c r="S172" s="44" t="str">
        <f aca="false">IF($L172="청산",DATE(YEAR($H172),MONTH($H172),1),"")</f>
        <v/>
      </c>
      <c r="T172" s="48"/>
      <c r="U172" s="49"/>
      <c r="V172" s="46" t="str">
        <f aca="false">IF($B172="","",IF($L172&lt;&gt;"청산",N(V171),IF($P172&gt;0,N(V171)+1,0)))</f>
        <v/>
      </c>
      <c r="W172" s="46" t="str">
        <f aca="false">IF($B172="","",IF($L172&lt;&gt;"청산",N(W171),IF($P172&lt;0,N(W171)+1,0)))</f>
        <v/>
      </c>
    </row>
    <row r="173" customFormat="false" ht="15" hidden="false" customHeight="false" outlineLevel="0" collapsed="false">
      <c r="A173" s="32" t="str">
        <f aca="false">IF($B173="","",ROW()-5)</f>
        <v/>
      </c>
      <c r="B173" s="48"/>
      <c r="C173" s="49"/>
      <c r="D173" s="50"/>
      <c r="E173" s="51"/>
      <c r="F173" s="52"/>
      <c r="G173" s="53"/>
      <c r="H173" s="50"/>
      <c r="I173" s="51"/>
      <c r="J173" s="53"/>
      <c r="K173" s="53"/>
      <c r="L173" s="39" t="str">
        <f aca="false">IF($B173="","",IF($H173="","보유중","청산"))</f>
        <v/>
      </c>
      <c r="M173" s="40" t="str">
        <f aca="false">IF($B173="","",$E173*$F173)</f>
        <v/>
      </c>
      <c r="N173" s="40" t="str">
        <f aca="false">IF($L173="청산",$I173*$F173,"")</f>
        <v/>
      </c>
      <c r="O173" s="40" t="str">
        <f aca="false">IF($B173="","",$G173+$J173+$K173)</f>
        <v/>
      </c>
      <c r="P173" s="41" t="str">
        <f aca="false">IF($L173="청산",$N173-$M173-$O173,"")</f>
        <v/>
      </c>
      <c r="Q173" s="42" t="str">
        <f aca="false">IF($L173="청산",IF($M173=0,"",$P173/$M173),"")</f>
        <v/>
      </c>
      <c r="R173" s="43" t="str">
        <f aca="true">IF($B173="","",IF($L173="청산",$H173-$D173,IF($D173="","",TODAY()-$D173)))</f>
        <v/>
      </c>
      <c r="S173" s="44" t="str">
        <f aca="false">IF($L173="청산",DATE(YEAR($H173),MONTH($H173),1),"")</f>
        <v/>
      </c>
      <c r="T173" s="48"/>
      <c r="U173" s="49"/>
      <c r="V173" s="46" t="str">
        <f aca="false">IF($B173="","",IF($L173&lt;&gt;"청산",N(V172),IF($P173&gt;0,N(V172)+1,0)))</f>
        <v/>
      </c>
      <c r="W173" s="46" t="str">
        <f aca="false">IF($B173="","",IF($L173&lt;&gt;"청산",N(W172),IF($P173&lt;0,N(W172)+1,0)))</f>
        <v/>
      </c>
    </row>
    <row r="174" customFormat="false" ht="15" hidden="false" customHeight="false" outlineLevel="0" collapsed="false">
      <c r="A174" s="32" t="str">
        <f aca="false">IF($B174="","",ROW()-5)</f>
        <v/>
      </c>
      <c r="B174" s="48"/>
      <c r="C174" s="49"/>
      <c r="D174" s="50"/>
      <c r="E174" s="51"/>
      <c r="F174" s="52"/>
      <c r="G174" s="53"/>
      <c r="H174" s="50"/>
      <c r="I174" s="51"/>
      <c r="J174" s="53"/>
      <c r="K174" s="53"/>
      <c r="L174" s="39" t="str">
        <f aca="false">IF($B174="","",IF($H174="","보유중","청산"))</f>
        <v/>
      </c>
      <c r="M174" s="40" t="str">
        <f aca="false">IF($B174="","",$E174*$F174)</f>
        <v/>
      </c>
      <c r="N174" s="40" t="str">
        <f aca="false">IF($L174="청산",$I174*$F174,"")</f>
        <v/>
      </c>
      <c r="O174" s="40" t="str">
        <f aca="false">IF($B174="","",$G174+$J174+$K174)</f>
        <v/>
      </c>
      <c r="P174" s="41" t="str">
        <f aca="false">IF($L174="청산",$N174-$M174-$O174,"")</f>
        <v/>
      </c>
      <c r="Q174" s="42" t="str">
        <f aca="false">IF($L174="청산",IF($M174=0,"",$P174/$M174),"")</f>
        <v/>
      </c>
      <c r="R174" s="43" t="str">
        <f aca="true">IF($B174="","",IF($L174="청산",$H174-$D174,IF($D174="","",TODAY()-$D174)))</f>
        <v/>
      </c>
      <c r="S174" s="44" t="str">
        <f aca="false">IF($L174="청산",DATE(YEAR($H174),MONTH($H174),1),"")</f>
        <v/>
      </c>
      <c r="T174" s="48"/>
      <c r="U174" s="49"/>
      <c r="V174" s="46" t="str">
        <f aca="false">IF($B174="","",IF($L174&lt;&gt;"청산",N(V173),IF($P174&gt;0,N(V173)+1,0)))</f>
        <v/>
      </c>
      <c r="W174" s="46" t="str">
        <f aca="false">IF($B174="","",IF($L174&lt;&gt;"청산",N(W173),IF($P174&lt;0,N(W173)+1,0)))</f>
        <v/>
      </c>
    </row>
    <row r="175" customFormat="false" ht="15" hidden="false" customHeight="false" outlineLevel="0" collapsed="false">
      <c r="A175" s="32" t="str">
        <f aca="false">IF($B175="","",ROW()-5)</f>
        <v/>
      </c>
      <c r="B175" s="48"/>
      <c r="C175" s="49"/>
      <c r="D175" s="50"/>
      <c r="E175" s="51"/>
      <c r="F175" s="52"/>
      <c r="G175" s="53"/>
      <c r="H175" s="50"/>
      <c r="I175" s="51"/>
      <c r="J175" s="53"/>
      <c r="K175" s="53"/>
      <c r="L175" s="39" t="str">
        <f aca="false">IF($B175="","",IF($H175="","보유중","청산"))</f>
        <v/>
      </c>
      <c r="M175" s="40" t="str">
        <f aca="false">IF($B175="","",$E175*$F175)</f>
        <v/>
      </c>
      <c r="N175" s="40" t="str">
        <f aca="false">IF($L175="청산",$I175*$F175,"")</f>
        <v/>
      </c>
      <c r="O175" s="40" t="str">
        <f aca="false">IF($B175="","",$G175+$J175+$K175)</f>
        <v/>
      </c>
      <c r="P175" s="41" t="str">
        <f aca="false">IF($L175="청산",$N175-$M175-$O175,"")</f>
        <v/>
      </c>
      <c r="Q175" s="42" t="str">
        <f aca="false">IF($L175="청산",IF($M175=0,"",$P175/$M175),"")</f>
        <v/>
      </c>
      <c r="R175" s="43" t="str">
        <f aca="true">IF($B175="","",IF($L175="청산",$H175-$D175,IF($D175="","",TODAY()-$D175)))</f>
        <v/>
      </c>
      <c r="S175" s="44" t="str">
        <f aca="false">IF($L175="청산",DATE(YEAR($H175),MONTH($H175),1),"")</f>
        <v/>
      </c>
      <c r="T175" s="48"/>
      <c r="U175" s="49"/>
      <c r="V175" s="46" t="str">
        <f aca="false">IF($B175="","",IF($L175&lt;&gt;"청산",N(V174),IF($P175&gt;0,N(V174)+1,0)))</f>
        <v/>
      </c>
      <c r="W175" s="46" t="str">
        <f aca="false">IF($B175="","",IF($L175&lt;&gt;"청산",N(W174),IF($P175&lt;0,N(W174)+1,0)))</f>
        <v/>
      </c>
    </row>
    <row r="176" customFormat="false" ht="15" hidden="false" customHeight="false" outlineLevel="0" collapsed="false">
      <c r="A176" s="32" t="str">
        <f aca="false">IF($B176="","",ROW()-5)</f>
        <v/>
      </c>
      <c r="B176" s="48"/>
      <c r="C176" s="49"/>
      <c r="D176" s="50"/>
      <c r="E176" s="51"/>
      <c r="F176" s="52"/>
      <c r="G176" s="53"/>
      <c r="H176" s="50"/>
      <c r="I176" s="51"/>
      <c r="J176" s="53"/>
      <c r="K176" s="53"/>
      <c r="L176" s="39" t="str">
        <f aca="false">IF($B176="","",IF($H176="","보유중","청산"))</f>
        <v/>
      </c>
      <c r="M176" s="40" t="str">
        <f aca="false">IF($B176="","",$E176*$F176)</f>
        <v/>
      </c>
      <c r="N176" s="40" t="str">
        <f aca="false">IF($L176="청산",$I176*$F176,"")</f>
        <v/>
      </c>
      <c r="O176" s="40" t="str">
        <f aca="false">IF($B176="","",$G176+$J176+$K176)</f>
        <v/>
      </c>
      <c r="P176" s="41" t="str">
        <f aca="false">IF($L176="청산",$N176-$M176-$O176,"")</f>
        <v/>
      </c>
      <c r="Q176" s="42" t="str">
        <f aca="false">IF($L176="청산",IF($M176=0,"",$P176/$M176),"")</f>
        <v/>
      </c>
      <c r="R176" s="43" t="str">
        <f aca="true">IF($B176="","",IF($L176="청산",$H176-$D176,IF($D176="","",TODAY()-$D176)))</f>
        <v/>
      </c>
      <c r="S176" s="44" t="str">
        <f aca="false">IF($L176="청산",DATE(YEAR($H176),MONTH($H176),1),"")</f>
        <v/>
      </c>
      <c r="T176" s="48"/>
      <c r="U176" s="49"/>
      <c r="V176" s="46" t="str">
        <f aca="false">IF($B176="","",IF($L176&lt;&gt;"청산",N(V175),IF($P176&gt;0,N(V175)+1,0)))</f>
        <v/>
      </c>
      <c r="W176" s="46" t="str">
        <f aca="false">IF($B176="","",IF($L176&lt;&gt;"청산",N(W175),IF($P176&lt;0,N(W175)+1,0)))</f>
        <v/>
      </c>
    </row>
    <row r="177" customFormat="false" ht="15" hidden="false" customHeight="false" outlineLevel="0" collapsed="false">
      <c r="A177" s="32" t="str">
        <f aca="false">IF($B177="","",ROW()-5)</f>
        <v/>
      </c>
      <c r="B177" s="48"/>
      <c r="C177" s="49"/>
      <c r="D177" s="50"/>
      <c r="E177" s="51"/>
      <c r="F177" s="52"/>
      <c r="G177" s="53"/>
      <c r="H177" s="50"/>
      <c r="I177" s="51"/>
      <c r="J177" s="53"/>
      <c r="K177" s="53"/>
      <c r="L177" s="39" t="str">
        <f aca="false">IF($B177="","",IF($H177="","보유중","청산"))</f>
        <v/>
      </c>
      <c r="M177" s="40" t="str">
        <f aca="false">IF($B177="","",$E177*$F177)</f>
        <v/>
      </c>
      <c r="N177" s="40" t="str">
        <f aca="false">IF($L177="청산",$I177*$F177,"")</f>
        <v/>
      </c>
      <c r="O177" s="40" t="str">
        <f aca="false">IF($B177="","",$G177+$J177+$K177)</f>
        <v/>
      </c>
      <c r="P177" s="41" t="str">
        <f aca="false">IF($L177="청산",$N177-$M177-$O177,"")</f>
        <v/>
      </c>
      <c r="Q177" s="42" t="str">
        <f aca="false">IF($L177="청산",IF($M177=0,"",$P177/$M177),"")</f>
        <v/>
      </c>
      <c r="R177" s="43" t="str">
        <f aca="true">IF($B177="","",IF($L177="청산",$H177-$D177,IF($D177="","",TODAY()-$D177)))</f>
        <v/>
      </c>
      <c r="S177" s="44" t="str">
        <f aca="false">IF($L177="청산",DATE(YEAR($H177),MONTH($H177),1),"")</f>
        <v/>
      </c>
      <c r="T177" s="48"/>
      <c r="U177" s="49"/>
      <c r="V177" s="46" t="str">
        <f aca="false">IF($B177="","",IF($L177&lt;&gt;"청산",N(V176),IF($P177&gt;0,N(V176)+1,0)))</f>
        <v/>
      </c>
      <c r="W177" s="46" t="str">
        <f aca="false">IF($B177="","",IF($L177&lt;&gt;"청산",N(W176),IF($P177&lt;0,N(W176)+1,0)))</f>
        <v/>
      </c>
    </row>
    <row r="178" customFormat="false" ht="15" hidden="false" customHeight="false" outlineLevel="0" collapsed="false">
      <c r="A178" s="32" t="str">
        <f aca="false">IF($B178="","",ROW()-5)</f>
        <v/>
      </c>
      <c r="B178" s="48"/>
      <c r="C178" s="49"/>
      <c r="D178" s="50"/>
      <c r="E178" s="51"/>
      <c r="F178" s="52"/>
      <c r="G178" s="53"/>
      <c r="H178" s="50"/>
      <c r="I178" s="51"/>
      <c r="J178" s="53"/>
      <c r="K178" s="53"/>
      <c r="L178" s="39" t="str">
        <f aca="false">IF($B178="","",IF($H178="","보유중","청산"))</f>
        <v/>
      </c>
      <c r="M178" s="40" t="str">
        <f aca="false">IF($B178="","",$E178*$F178)</f>
        <v/>
      </c>
      <c r="N178" s="40" t="str">
        <f aca="false">IF($L178="청산",$I178*$F178,"")</f>
        <v/>
      </c>
      <c r="O178" s="40" t="str">
        <f aca="false">IF($B178="","",$G178+$J178+$K178)</f>
        <v/>
      </c>
      <c r="P178" s="41" t="str">
        <f aca="false">IF($L178="청산",$N178-$M178-$O178,"")</f>
        <v/>
      </c>
      <c r="Q178" s="42" t="str">
        <f aca="false">IF($L178="청산",IF($M178=0,"",$P178/$M178),"")</f>
        <v/>
      </c>
      <c r="R178" s="43" t="str">
        <f aca="true">IF($B178="","",IF($L178="청산",$H178-$D178,IF($D178="","",TODAY()-$D178)))</f>
        <v/>
      </c>
      <c r="S178" s="44" t="str">
        <f aca="false">IF($L178="청산",DATE(YEAR($H178),MONTH($H178),1),"")</f>
        <v/>
      </c>
      <c r="T178" s="48"/>
      <c r="U178" s="49"/>
      <c r="V178" s="46" t="str">
        <f aca="false">IF($B178="","",IF($L178&lt;&gt;"청산",N(V177),IF($P178&gt;0,N(V177)+1,0)))</f>
        <v/>
      </c>
      <c r="W178" s="46" t="str">
        <f aca="false">IF($B178="","",IF($L178&lt;&gt;"청산",N(W177),IF($P178&lt;0,N(W177)+1,0)))</f>
        <v/>
      </c>
    </row>
    <row r="179" customFormat="false" ht="15" hidden="false" customHeight="false" outlineLevel="0" collapsed="false">
      <c r="A179" s="32" t="str">
        <f aca="false">IF($B179="","",ROW()-5)</f>
        <v/>
      </c>
      <c r="B179" s="48"/>
      <c r="C179" s="49"/>
      <c r="D179" s="50"/>
      <c r="E179" s="51"/>
      <c r="F179" s="52"/>
      <c r="G179" s="53"/>
      <c r="H179" s="50"/>
      <c r="I179" s="51"/>
      <c r="J179" s="53"/>
      <c r="K179" s="53"/>
      <c r="L179" s="39" t="str">
        <f aca="false">IF($B179="","",IF($H179="","보유중","청산"))</f>
        <v/>
      </c>
      <c r="M179" s="40" t="str">
        <f aca="false">IF($B179="","",$E179*$F179)</f>
        <v/>
      </c>
      <c r="N179" s="40" t="str">
        <f aca="false">IF($L179="청산",$I179*$F179,"")</f>
        <v/>
      </c>
      <c r="O179" s="40" t="str">
        <f aca="false">IF($B179="","",$G179+$J179+$K179)</f>
        <v/>
      </c>
      <c r="P179" s="41" t="str">
        <f aca="false">IF($L179="청산",$N179-$M179-$O179,"")</f>
        <v/>
      </c>
      <c r="Q179" s="42" t="str">
        <f aca="false">IF($L179="청산",IF($M179=0,"",$P179/$M179),"")</f>
        <v/>
      </c>
      <c r="R179" s="43" t="str">
        <f aca="true">IF($B179="","",IF($L179="청산",$H179-$D179,IF($D179="","",TODAY()-$D179)))</f>
        <v/>
      </c>
      <c r="S179" s="44" t="str">
        <f aca="false">IF($L179="청산",DATE(YEAR($H179),MONTH($H179),1),"")</f>
        <v/>
      </c>
      <c r="T179" s="48"/>
      <c r="U179" s="49"/>
      <c r="V179" s="46" t="str">
        <f aca="false">IF($B179="","",IF($L179&lt;&gt;"청산",N(V178),IF($P179&gt;0,N(V178)+1,0)))</f>
        <v/>
      </c>
      <c r="W179" s="46" t="str">
        <f aca="false">IF($B179="","",IF($L179&lt;&gt;"청산",N(W178),IF($P179&lt;0,N(W178)+1,0)))</f>
        <v/>
      </c>
    </row>
    <row r="180" customFormat="false" ht="15" hidden="false" customHeight="false" outlineLevel="0" collapsed="false">
      <c r="A180" s="32" t="str">
        <f aca="false">IF($B180="","",ROW()-5)</f>
        <v/>
      </c>
      <c r="B180" s="48"/>
      <c r="C180" s="49"/>
      <c r="D180" s="50"/>
      <c r="E180" s="51"/>
      <c r="F180" s="52"/>
      <c r="G180" s="53"/>
      <c r="H180" s="50"/>
      <c r="I180" s="51"/>
      <c r="J180" s="53"/>
      <c r="K180" s="53"/>
      <c r="L180" s="39" t="str">
        <f aca="false">IF($B180="","",IF($H180="","보유중","청산"))</f>
        <v/>
      </c>
      <c r="M180" s="40" t="str">
        <f aca="false">IF($B180="","",$E180*$F180)</f>
        <v/>
      </c>
      <c r="N180" s="40" t="str">
        <f aca="false">IF($L180="청산",$I180*$F180,"")</f>
        <v/>
      </c>
      <c r="O180" s="40" t="str">
        <f aca="false">IF($B180="","",$G180+$J180+$K180)</f>
        <v/>
      </c>
      <c r="P180" s="41" t="str">
        <f aca="false">IF($L180="청산",$N180-$M180-$O180,"")</f>
        <v/>
      </c>
      <c r="Q180" s="42" t="str">
        <f aca="false">IF($L180="청산",IF($M180=0,"",$P180/$M180),"")</f>
        <v/>
      </c>
      <c r="R180" s="43" t="str">
        <f aca="true">IF($B180="","",IF($L180="청산",$H180-$D180,IF($D180="","",TODAY()-$D180)))</f>
        <v/>
      </c>
      <c r="S180" s="44" t="str">
        <f aca="false">IF($L180="청산",DATE(YEAR($H180),MONTH($H180),1),"")</f>
        <v/>
      </c>
      <c r="T180" s="48"/>
      <c r="U180" s="49"/>
      <c r="V180" s="46" t="str">
        <f aca="false">IF($B180="","",IF($L180&lt;&gt;"청산",N(V179),IF($P180&gt;0,N(V179)+1,0)))</f>
        <v/>
      </c>
      <c r="W180" s="46" t="str">
        <f aca="false">IF($B180="","",IF($L180&lt;&gt;"청산",N(W179),IF($P180&lt;0,N(W179)+1,0)))</f>
        <v/>
      </c>
    </row>
    <row r="181" customFormat="false" ht="15" hidden="false" customHeight="false" outlineLevel="0" collapsed="false">
      <c r="A181" s="32" t="str">
        <f aca="false">IF($B181="","",ROW()-5)</f>
        <v/>
      </c>
      <c r="B181" s="48"/>
      <c r="C181" s="49"/>
      <c r="D181" s="50"/>
      <c r="E181" s="51"/>
      <c r="F181" s="52"/>
      <c r="G181" s="53"/>
      <c r="H181" s="50"/>
      <c r="I181" s="51"/>
      <c r="J181" s="53"/>
      <c r="K181" s="53"/>
      <c r="L181" s="39" t="str">
        <f aca="false">IF($B181="","",IF($H181="","보유중","청산"))</f>
        <v/>
      </c>
      <c r="M181" s="40" t="str">
        <f aca="false">IF($B181="","",$E181*$F181)</f>
        <v/>
      </c>
      <c r="N181" s="40" t="str">
        <f aca="false">IF($L181="청산",$I181*$F181,"")</f>
        <v/>
      </c>
      <c r="O181" s="40" t="str">
        <f aca="false">IF($B181="","",$G181+$J181+$K181)</f>
        <v/>
      </c>
      <c r="P181" s="41" t="str">
        <f aca="false">IF($L181="청산",$N181-$M181-$O181,"")</f>
        <v/>
      </c>
      <c r="Q181" s="42" t="str">
        <f aca="false">IF($L181="청산",IF($M181=0,"",$P181/$M181),"")</f>
        <v/>
      </c>
      <c r="R181" s="43" t="str">
        <f aca="true">IF($B181="","",IF($L181="청산",$H181-$D181,IF($D181="","",TODAY()-$D181)))</f>
        <v/>
      </c>
      <c r="S181" s="44" t="str">
        <f aca="false">IF($L181="청산",DATE(YEAR($H181),MONTH($H181),1),"")</f>
        <v/>
      </c>
      <c r="T181" s="48"/>
      <c r="U181" s="49"/>
      <c r="V181" s="46" t="str">
        <f aca="false">IF($B181="","",IF($L181&lt;&gt;"청산",N(V180),IF($P181&gt;0,N(V180)+1,0)))</f>
        <v/>
      </c>
      <c r="W181" s="46" t="str">
        <f aca="false">IF($B181="","",IF($L181&lt;&gt;"청산",N(W180),IF($P181&lt;0,N(W180)+1,0)))</f>
        <v/>
      </c>
    </row>
    <row r="182" customFormat="false" ht="15" hidden="false" customHeight="false" outlineLevel="0" collapsed="false">
      <c r="A182" s="32" t="str">
        <f aca="false">IF($B182="","",ROW()-5)</f>
        <v/>
      </c>
      <c r="B182" s="48"/>
      <c r="C182" s="49"/>
      <c r="D182" s="50"/>
      <c r="E182" s="51"/>
      <c r="F182" s="52"/>
      <c r="G182" s="53"/>
      <c r="H182" s="50"/>
      <c r="I182" s="51"/>
      <c r="J182" s="53"/>
      <c r="K182" s="53"/>
      <c r="L182" s="39" t="str">
        <f aca="false">IF($B182="","",IF($H182="","보유중","청산"))</f>
        <v/>
      </c>
      <c r="M182" s="40" t="str">
        <f aca="false">IF($B182="","",$E182*$F182)</f>
        <v/>
      </c>
      <c r="N182" s="40" t="str">
        <f aca="false">IF($L182="청산",$I182*$F182,"")</f>
        <v/>
      </c>
      <c r="O182" s="40" t="str">
        <f aca="false">IF($B182="","",$G182+$J182+$K182)</f>
        <v/>
      </c>
      <c r="P182" s="41" t="str">
        <f aca="false">IF($L182="청산",$N182-$M182-$O182,"")</f>
        <v/>
      </c>
      <c r="Q182" s="42" t="str">
        <f aca="false">IF($L182="청산",IF($M182=0,"",$P182/$M182),"")</f>
        <v/>
      </c>
      <c r="R182" s="43" t="str">
        <f aca="true">IF($B182="","",IF($L182="청산",$H182-$D182,IF($D182="","",TODAY()-$D182)))</f>
        <v/>
      </c>
      <c r="S182" s="44" t="str">
        <f aca="false">IF($L182="청산",DATE(YEAR($H182),MONTH($H182),1),"")</f>
        <v/>
      </c>
      <c r="T182" s="48"/>
      <c r="U182" s="49"/>
      <c r="V182" s="46" t="str">
        <f aca="false">IF($B182="","",IF($L182&lt;&gt;"청산",N(V181),IF($P182&gt;0,N(V181)+1,0)))</f>
        <v/>
      </c>
      <c r="W182" s="46" t="str">
        <f aca="false">IF($B182="","",IF($L182&lt;&gt;"청산",N(W181),IF($P182&lt;0,N(W181)+1,0)))</f>
        <v/>
      </c>
    </row>
    <row r="183" customFormat="false" ht="15" hidden="false" customHeight="false" outlineLevel="0" collapsed="false">
      <c r="A183" s="32" t="str">
        <f aca="false">IF($B183="","",ROW()-5)</f>
        <v/>
      </c>
      <c r="B183" s="48"/>
      <c r="C183" s="49"/>
      <c r="D183" s="50"/>
      <c r="E183" s="51"/>
      <c r="F183" s="52"/>
      <c r="G183" s="53"/>
      <c r="H183" s="50"/>
      <c r="I183" s="51"/>
      <c r="J183" s="53"/>
      <c r="K183" s="53"/>
      <c r="L183" s="39" t="str">
        <f aca="false">IF($B183="","",IF($H183="","보유중","청산"))</f>
        <v/>
      </c>
      <c r="M183" s="40" t="str">
        <f aca="false">IF($B183="","",$E183*$F183)</f>
        <v/>
      </c>
      <c r="N183" s="40" t="str">
        <f aca="false">IF($L183="청산",$I183*$F183,"")</f>
        <v/>
      </c>
      <c r="O183" s="40" t="str">
        <f aca="false">IF($B183="","",$G183+$J183+$K183)</f>
        <v/>
      </c>
      <c r="P183" s="41" t="str">
        <f aca="false">IF($L183="청산",$N183-$M183-$O183,"")</f>
        <v/>
      </c>
      <c r="Q183" s="42" t="str">
        <f aca="false">IF($L183="청산",IF($M183=0,"",$P183/$M183),"")</f>
        <v/>
      </c>
      <c r="R183" s="43" t="str">
        <f aca="true">IF($B183="","",IF($L183="청산",$H183-$D183,IF($D183="","",TODAY()-$D183)))</f>
        <v/>
      </c>
      <c r="S183" s="44" t="str">
        <f aca="false">IF($L183="청산",DATE(YEAR($H183),MONTH($H183),1),"")</f>
        <v/>
      </c>
      <c r="T183" s="48"/>
      <c r="U183" s="49"/>
      <c r="V183" s="46" t="str">
        <f aca="false">IF($B183="","",IF($L183&lt;&gt;"청산",N(V182),IF($P183&gt;0,N(V182)+1,0)))</f>
        <v/>
      </c>
      <c r="W183" s="46" t="str">
        <f aca="false">IF($B183="","",IF($L183&lt;&gt;"청산",N(W182),IF($P183&lt;0,N(W182)+1,0)))</f>
        <v/>
      </c>
    </row>
    <row r="184" customFormat="false" ht="15" hidden="false" customHeight="false" outlineLevel="0" collapsed="false">
      <c r="A184" s="32" t="str">
        <f aca="false">IF($B184="","",ROW()-5)</f>
        <v/>
      </c>
      <c r="B184" s="48"/>
      <c r="C184" s="49"/>
      <c r="D184" s="50"/>
      <c r="E184" s="51"/>
      <c r="F184" s="52"/>
      <c r="G184" s="53"/>
      <c r="H184" s="50"/>
      <c r="I184" s="51"/>
      <c r="J184" s="53"/>
      <c r="K184" s="53"/>
      <c r="L184" s="39" t="str">
        <f aca="false">IF($B184="","",IF($H184="","보유중","청산"))</f>
        <v/>
      </c>
      <c r="M184" s="40" t="str">
        <f aca="false">IF($B184="","",$E184*$F184)</f>
        <v/>
      </c>
      <c r="N184" s="40" t="str">
        <f aca="false">IF($L184="청산",$I184*$F184,"")</f>
        <v/>
      </c>
      <c r="O184" s="40" t="str">
        <f aca="false">IF($B184="","",$G184+$J184+$K184)</f>
        <v/>
      </c>
      <c r="P184" s="41" t="str">
        <f aca="false">IF($L184="청산",$N184-$M184-$O184,"")</f>
        <v/>
      </c>
      <c r="Q184" s="42" t="str">
        <f aca="false">IF($L184="청산",IF($M184=0,"",$P184/$M184),"")</f>
        <v/>
      </c>
      <c r="R184" s="43" t="str">
        <f aca="true">IF($B184="","",IF($L184="청산",$H184-$D184,IF($D184="","",TODAY()-$D184)))</f>
        <v/>
      </c>
      <c r="S184" s="44" t="str">
        <f aca="false">IF($L184="청산",DATE(YEAR($H184),MONTH($H184),1),"")</f>
        <v/>
      </c>
      <c r="T184" s="48"/>
      <c r="U184" s="49"/>
      <c r="V184" s="46" t="str">
        <f aca="false">IF($B184="","",IF($L184&lt;&gt;"청산",N(V183),IF($P184&gt;0,N(V183)+1,0)))</f>
        <v/>
      </c>
      <c r="W184" s="46" t="str">
        <f aca="false">IF($B184="","",IF($L184&lt;&gt;"청산",N(W183),IF($P184&lt;0,N(W183)+1,0)))</f>
        <v/>
      </c>
    </row>
    <row r="185" customFormat="false" ht="15" hidden="false" customHeight="false" outlineLevel="0" collapsed="false">
      <c r="A185" s="32" t="str">
        <f aca="false">IF($B185="","",ROW()-5)</f>
        <v/>
      </c>
      <c r="B185" s="48"/>
      <c r="C185" s="49"/>
      <c r="D185" s="50"/>
      <c r="E185" s="51"/>
      <c r="F185" s="52"/>
      <c r="G185" s="53"/>
      <c r="H185" s="50"/>
      <c r="I185" s="51"/>
      <c r="J185" s="53"/>
      <c r="K185" s="53"/>
      <c r="L185" s="39" t="str">
        <f aca="false">IF($B185="","",IF($H185="","보유중","청산"))</f>
        <v/>
      </c>
      <c r="M185" s="40" t="str">
        <f aca="false">IF($B185="","",$E185*$F185)</f>
        <v/>
      </c>
      <c r="N185" s="40" t="str">
        <f aca="false">IF($L185="청산",$I185*$F185,"")</f>
        <v/>
      </c>
      <c r="O185" s="40" t="str">
        <f aca="false">IF($B185="","",$G185+$J185+$K185)</f>
        <v/>
      </c>
      <c r="P185" s="41" t="str">
        <f aca="false">IF($L185="청산",$N185-$M185-$O185,"")</f>
        <v/>
      </c>
      <c r="Q185" s="42" t="str">
        <f aca="false">IF($L185="청산",IF($M185=0,"",$P185/$M185),"")</f>
        <v/>
      </c>
      <c r="R185" s="43" t="str">
        <f aca="true">IF($B185="","",IF($L185="청산",$H185-$D185,IF($D185="","",TODAY()-$D185)))</f>
        <v/>
      </c>
      <c r="S185" s="44" t="str">
        <f aca="false">IF($L185="청산",DATE(YEAR($H185),MONTH($H185),1),"")</f>
        <v/>
      </c>
      <c r="T185" s="48"/>
      <c r="U185" s="49"/>
      <c r="V185" s="46" t="str">
        <f aca="false">IF($B185="","",IF($L185&lt;&gt;"청산",N(V184),IF($P185&gt;0,N(V184)+1,0)))</f>
        <v/>
      </c>
      <c r="W185" s="46" t="str">
        <f aca="false">IF($B185="","",IF($L185&lt;&gt;"청산",N(W184),IF($P185&lt;0,N(W184)+1,0)))</f>
        <v/>
      </c>
    </row>
    <row r="186" customFormat="false" ht="15" hidden="false" customHeight="false" outlineLevel="0" collapsed="false">
      <c r="A186" s="32" t="str">
        <f aca="false">IF($B186="","",ROW()-5)</f>
        <v/>
      </c>
      <c r="B186" s="48"/>
      <c r="C186" s="49"/>
      <c r="D186" s="50"/>
      <c r="E186" s="51"/>
      <c r="F186" s="52"/>
      <c r="G186" s="53"/>
      <c r="H186" s="50"/>
      <c r="I186" s="51"/>
      <c r="J186" s="53"/>
      <c r="K186" s="53"/>
      <c r="L186" s="39" t="str">
        <f aca="false">IF($B186="","",IF($H186="","보유중","청산"))</f>
        <v/>
      </c>
      <c r="M186" s="40" t="str">
        <f aca="false">IF($B186="","",$E186*$F186)</f>
        <v/>
      </c>
      <c r="N186" s="40" t="str">
        <f aca="false">IF($L186="청산",$I186*$F186,"")</f>
        <v/>
      </c>
      <c r="O186" s="40" t="str">
        <f aca="false">IF($B186="","",$G186+$J186+$K186)</f>
        <v/>
      </c>
      <c r="P186" s="41" t="str">
        <f aca="false">IF($L186="청산",$N186-$M186-$O186,"")</f>
        <v/>
      </c>
      <c r="Q186" s="42" t="str">
        <f aca="false">IF($L186="청산",IF($M186=0,"",$P186/$M186),"")</f>
        <v/>
      </c>
      <c r="R186" s="43" t="str">
        <f aca="true">IF($B186="","",IF($L186="청산",$H186-$D186,IF($D186="","",TODAY()-$D186)))</f>
        <v/>
      </c>
      <c r="S186" s="44" t="str">
        <f aca="false">IF($L186="청산",DATE(YEAR($H186),MONTH($H186),1),"")</f>
        <v/>
      </c>
      <c r="T186" s="48"/>
      <c r="U186" s="49"/>
      <c r="V186" s="46" t="str">
        <f aca="false">IF($B186="","",IF($L186&lt;&gt;"청산",N(V185),IF($P186&gt;0,N(V185)+1,0)))</f>
        <v/>
      </c>
      <c r="W186" s="46" t="str">
        <f aca="false">IF($B186="","",IF($L186&lt;&gt;"청산",N(W185),IF($P186&lt;0,N(W185)+1,0)))</f>
        <v/>
      </c>
    </row>
    <row r="187" customFormat="false" ht="15" hidden="false" customHeight="false" outlineLevel="0" collapsed="false">
      <c r="A187" s="32" t="str">
        <f aca="false">IF($B187="","",ROW()-5)</f>
        <v/>
      </c>
      <c r="B187" s="48"/>
      <c r="C187" s="49"/>
      <c r="D187" s="50"/>
      <c r="E187" s="51"/>
      <c r="F187" s="52"/>
      <c r="G187" s="53"/>
      <c r="H187" s="50"/>
      <c r="I187" s="51"/>
      <c r="J187" s="53"/>
      <c r="K187" s="53"/>
      <c r="L187" s="39" t="str">
        <f aca="false">IF($B187="","",IF($H187="","보유중","청산"))</f>
        <v/>
      </c>
      <c r="M187" s="40" t="str">
        <f aca="false">IF($B187="","",$E187*$F187)</f>
        <v/>
      </c>
      <c r="N187" s="40" t="str">
        <f aca="false">IF($L187="청산",$I187*$F187,"")</f>
        <v/>
      </c>
      <c r="O187" s="40" t="str">
        <f aca="false">IF($B187="","",$G187+$J187+$K187)</f>
        <v/>
      </c>
      <c r="P187" s="41" t="str">
        <f aca="false">IF($L187="청산",$N187-$M187-$O187,"")</f>
        <v/>
      </c>
      <c r="Q187" s="42" t="str">
        <f aca="false">IF($L187="청산",IF($M187=0,"",$P187/$M187),"")</f>
        <v/>
      </c>
      <c r="R187" s="43" t="str">
        <f aca="true">IF($B187="","",IF($L187="청산",$H187-$D187,IF($D187="","",TODAY()-$D187)))</f>
        <v/>
      </c>
      <c r="S187" s="44" t="str">
        <f aca="false">IF($L187="청산",DATE(YEAR($H187),MONTH($H187),1),"")</f>
        <v/>
      </c>
      <c r="T187" s="48"/>
      <c r="U187" s="49"/>
      <c r="V187" s="46" t="str">
        <f aca="false">IF($B187="","",IF($L187&lt;&gt;"청산",N(V186),IF($P187&gt;0,N(V186)+1,0)))</f>
        <v/>
      </c>
      <c r="W187" s="46" t="str">
        <f aca="false">IF($B187="","",IF($L187&lt;&gt;"청산",N(W186),IF($P187&lt;0,N(W186)+1,0)))</f>
        <v/>
      </c>
    </row>
    <row r="188" customFormat="false" ht="15" hidden="false" customHeight="false" outlineLevel="0" collapsed="false">
      <c r="A188" s="32" t="str">
        <f aca="false">IF($B188="","",ROW()-5)</f>
        <v/>
      </c>
      <c r="B188" s="48"/>
      <c r="C188" s="49"/>
      <c r="D188" s="50"/>
      <c r="E188" s="51"/>
      <c r="F188" s="52"/>
      <c r="G188" s="53"/>
      <c r="H188" s="50"/>
      <c r="I188" s="51"/>
      <c r="J188" s="53"/>
      <c r="K188" s="53"/>
      <c r="L188" s="39" t="str">
        <f aca="false">IF($B188="","",IF($H188="","보유중","청산"))</f>
        <v/>
      </c>
      <c r="M188" s="40" t="str">
        <f aca="false">IF($B188="","",$E188*$F188)</f>
        <v/>
      </c>
      <c r="N188" s="40" t="str">
        <f aca="false">IF($L188="청산",$I188*$F188,"")</f>
        <v/>
      </c>
      <c r="O188" s="40" t="str">
        <f aca="false">IF($B188="","",$G188+$J188+$K188)</f>
        <v/>
      </c>
      <c r="P188" s="41" t="str">
        <f aca="false">IF($L188="청산",$N188-$M188-$O188,"")</f>
        <v/>
      </c>
      <c r="Q188" s="42" t="str">
        <f aca="false">IF($L188="청산",IF($M188=0,"",$P188/$M188),"")</f>
        <v/>
      </c>
      <c r="R188" s="43" t="str">
        <f aca="true">IF($B188="","",IF($L188="청산",$H188-$D188,IF($D188="","",TODAY()-$D188)))</f>
        <v/>
      </c>
      <c r="S188" s="44" t="str">
        <f aca="false">IF($L188="청산",DATE(YEAR($H188),MONTH($H188),1),"")</f>
        <v/>
      </c>
      <c r="T188" s="48"/>
      <c r="U188" s="49"/>
      <c r="V188" s="46" t="str">
        <f aca="false">IF($B188="","",IF($L188&lt;&gt;"청산",N(V187),IF($P188&gt;0,N(V187)+1,0)))</f>
        <v/>
      </c>
      <c r="W188" s="46" t="str">
        <f aca="false">IF($B188="","",IF($L188&lt;&gt;"청산",N(W187),IF($P188&lt;0,N(W187)+1,0)))</f>
        <v/>
      </c>
    </row>
    <row r="189" customFormat="false" ht="15" hidden="false" customHeight="false" outlineLevel="0" collapsed="false">
      <c r="A189" s="32" t="str">
        <f aca="false">IF($B189="","",ROW()-5)</f>
        <v/>
      </c>
      <c r="B189" s="48"/>
      <c r="C189" s="49"/>
      <c r="D189" s="50"/>
      <c r="E189" s="51"/>
      <c r="F189" s="52"/>
      <c r="G189" s="53"/>
      <c r="H189" s="50"/>
      <c r="I189" s="51"/>
      <c r="J189" s="53"/>
      <c r="K189" s="53"/>
      <c r="L189" s="39" t="str">
        <f aca="false">IF($B189="","",IF($H189="","보유중","청산"))</f>
        <v/>
      </c>
      <c r="M189" s="40" t="str">
        <f aca="false">IF($B189="","",$E189*$F189)</f>
        <v/>
      </c>
      <c r="N189" s="40" t="str">
        <f aca="false">IF($L189="청산",$I189*$F189,"")</f>
        <v/>
      </c>
      <c r="O189" s="40" t="str">
        <f aca="false">IF($B189="","",$G189+$J189+$K189)</f>
        <v/>
      </c>
      <c r="P189" s="41" t="str">
        <f aca="false">IF($L189="청산",$N189-$M189-$O189,"")</f>
        <v/>
      </c>
      <c r="Q189" s="42" t="str">
        <f aca="false">IF($L189="청산",IF($M189=0,"",$P189/$M189),"")</f>
        <v/>
      </c>
      <c r="R189" s="43" t="str">
        <f aca="true">IF($B189="","",IF($L189="청산",$H189-$D189,IF($D189="","",TODAY()-$D189)))</f>
        <v/>
      </c>
      <c r="S189" s="44" t="str">
        <f aca="false">IF($L189="청산",DATE(YEAR($H189),MONTH($H189),1),"")</f>
        <v/>
      </c>
      <c r="T189" s="48"/>
      <c r="U189" s="49"/>
      <c r="V189" s="46" t="str">
        <f aca="false">IF($B189="","",IF($L189&lt;&gt;"청산",N(V188),IF($P189&gt;0,N(V188)+1,0)))</f>
        <v/>
      </c>
      <c r="W189" s="46" t="str">
        <f aca="false">IF($B189="","",IF($L189&lt;&gt;"청산",N(W188),IF($P189&lt;0,N(W188)+1,0)))</f>
        <v/>
      </c>
    </row>
    <row r="190" customFormat="false" ht="15" hidden="false" customHeight="false" outlineLevel="0" collapsed="false">
      <c r="A190" s="32" t="str">
        <f aca="false">IF($B190="","",ROW()-5)</f>
        <v/>
      </c>
      <c r="B190" s="48"/>
      <c r="C190" s="49"/>
      <c r="D190" s="50"/>
      <c r="E190" s="51"/>
      <c r="F190" s="52"/>
      <c r="G190" s="53"/>
      <c r="H190" s="50"/>
      <c r="I190" s="51"/>
      <c r="J190" s="53"/>
      <c r="K190" s="53"/>
      <c r="L190" s="39" t="str">
        <f aca="false">IF($B190="","",IF($H190="","보유중","청산"))</f>
        <v/>
      </c>
      <c r="M190" s="40" t="str">
        <f aca="false">IF($B190="","",$E190*$F190)</f>
        <v/>
      </c>
      <c r="N190" s="40" t="str">
        <f aca="false">IF($L190="청산",$I190*$F190,"")</f>
        <v/>
      </c>
      <c r="O190" s="40" t="str">
        <f aca="false">IF($B190="","",$G190+$J190+$K190)</f>
        <v/>
      </c>
      <c r="P190" s="41" t="str">
        <f aca="false">IF($L190="청산",$N190-$M190-$O190,"")</f>
        <v/>
      </c>
      <c r="Q190" s="42" t="str">
        <f aca="false">IF($L190="청산",IF($M190=0,"",$P190/$M190),"")</f>
        <v/>
      </c>
      <c r="R190" s="43" t="str">
        <f aca="true">IF($B190="","",IF($L190="청산",$H190-$D190,IF($D190="","",TODAY()-$D190)))</f>
        <v/>
      </c>
      <c r="S190" s="44" t="str">
        <f aca="false">IF($L190="청산",DATE(YEAR($H190),MONTH($H190),1),"")</f>
        <v/>
      </c>
      <c r="T190" s="48"/>
      <c r="U190" s="49"/>
      <c r="V190" s="46" t="str">
        <f aca="false">IF($B190="","",IF($L190&lt;&gt;"청산",N(V189),IF($P190&gt;0,N(V189)+1,0)))</f>
        <v/>
      </c>
      <c r="W190" s="46" t="str">
        <f aca="false">IF($B190="","",IF($L190&lt;&gt;"청산",N(W189),IF($P190&lt;0,N(W189)+1,0)))</f>
        <v/>
      </c>
    </row>
    <row r="191" customFormat="false" ht="15" hidden="false" customHeight="false" outlineLevel="0" collapsed="false">
      <c r="A191" s="32" t="str">
        <f aca="false">IF($B191="","",ROW()-5)</f>
        <v/>
      </c>
      <c r="B191" s="48"/>
      <c r="C191" s="49"/>
      <c r="D191" s="50"/>
      <c r="E191" s="51"/>
      <c r="F191" s="52"/>
      <c r="G191" s="53"/>
      <c r="H191" s="50"/>
      <c r="I191" s="51"/>
      <c r="J191" s="53"/>
      <c r="K191" s="53"/>
      <c r="L191" s="39" t="str">
        <f aca="false">IF($B191="","",IF($H191="","보유중","청산"))</f>
        <v/>
      </c>
      <c r="M191" s="40" t="str">
        <f aca="false">IF($B191="","",$E191*$F191)</f>
        <v/>
      </c>
      <c r="N191" s="40" t="str">
        <f aca="false">IF($L191="청산",$I191*$F191,"")</f>
        <v/>
      </c>
      <c r="O191" s="40" t="str">
        <f aca="false">IF($B191="","",$G191+$J191+$K191)</f>
        <v/>
      </c>
      <c r="P191" s="41" t="str">
        <f aca="false">IF($L191="청산",$N191-$M191-$O191,"")</f>
        <v/>
      </c>
      <c r="Q191" s="42" t="str">
        <f aca="false">IF($L191="청산",IF($M191=0,"",$P191/$M191),"")</f>
        <v/>
      </c>
      <c r="R191" s="43" t="str">
        <f aca="true">IF($B191="","",IF($L191="청산",$H191-$D191,IF($D191="","",TODAY()-$D191)))</f>
        <v/>
      </c>
      <c r="S191" s="44" t="str">
        <f aca="false">IF($L191="청산",DATE(YEAR($H191),MONTH($H191),1),"")</f>
        <v/>
      </c>
      <c r="T191" s="48"/>
      <c r="U191" s="49"/>
      <c r="V191" s="46" t="str">
        <f aca="false">IF($B191="","",IF($L191&lt;&gt;"청산",N(V190),IF($P191&gt;0,N(V190)+1,0)))</f>
        <v/>
      </c>
      <c r="W191" s="46" t="str">
        <f aca="false">IF($B191="","",IF($L191&lt;&gt;"청산",N(W190),IF($P191&lt;0,N(W190)+1,0)))</f>
        <v/>
      </c>
    </row>
    <row r="192" customFormat="false" ht="15" hidden="false" customHeight="false" outlineLevel="0" collapsed="false">
      <c r="A192" s="32" t="str">
        <f aca="false">IF($B192="","",ROW()-5)</f>
        <v/>
      </c>
      <c r="B192" s="48"/>
      <c r="C192" s="49"/>
      <c r="D192" s="50"/>
      <c r="E192" s="51"/>
      <c r="F192" s="52"/>
      <c r="G192" s="53"/>
      <c r="H192" s="50"/>
      <c r="I192" s="51"/>
      <c r="J192" s="53"/>
      <c r="K192" s="53"/>
      <c r="L192" s="39" t="str">
        <f aca="false">IF($B192="","",IF($H192="","보유중","청산"))</f>
        <v/>
      </c>
      <c r="M192" s="40" t="str">
        <f aca="false">IF($B192="","",$E192*$F192)</f>
        <v/>
      </c>
      <c r="N192" s="40" t="str">
        <f aca="false">IF($L192="청산",$I192*$F192,"")</f>
        <v/>
      </c>
      <c r="O192" s="40" t="str">
        <f aca="false">IF($B192="","",$G192+$J192+$K192)</f>
        <v/>
      </c>
      <c r="P192" s="41" t="str">
        <f aca="false">IF($L192="청산",$N192-$M192-$O192,"")</f>
        <v/>
      </c>
      <c r="Q192" s="42" t="str">
        <f aca="false">IF($L192="청산",IF($M192=0,"",$P192/$M192),"")</f>
        <v/>
      </c>
      <c r="R192" s="43" t="str">
        <f aca="true">IF($B192="","",IF($L192="청산",$H192-$D192,IF($D192="","",TODAY()-$D192)))</f>
        <v/>
      </c>
      <c r="S192" s="44" t="str">
        <f aca="false">IF($L192="청산",DATE(YEAR($H192),MONTH($H192),1),"")</f>
        <v/>
      </c>
      <c r="T192" s="48"/>
      <c r="U192" s="49"/>
      <c r="V192" s="46" t="str">
        <f aca="false">IF($B192="","",IF($L192&lt;&gt;"청산",N(V191),IF($P192&gt;0,N(V191)+1,0)))</f>
        <v/>
      </c>
      <c r="W192" s="46" t="str">
        <f aca="false">IF($B192="","",IF($L192&lt;&gt;"청산",N(W191),IF($P192&lt;0,N(W191)+1,0)))</f>
        <v/>
      </c>
    </row>
    <row r="193" customFormat="false" ht="15" hidden="false" customHeight="false" outlineLevel="0" collapsed="false">
      <c r="A193" s="32" t="str">
        <f aca="false">IF($B193="","",ROW()-5)</f>
        <v/>
      </c>
      <c r="B193" s="48"/>
      <c r="C193" s="49"/>
      <c r="D193" s="50"/>
      <c r="E193" s="51"/>
      <c r="F193" s="52"/>
      <c r="G193" s="53"/>
      <c r="H193" s="50"/>
      <c r="I193" s="51"/>
      <c r="J193" s="53"/>
      <c r="K193" s="53"/>
      <c r="L193" s="39" t="str">
        <f aca="false">IF($B193="","",IF($H193="","보유중","청산"))</f>
        <v/>
      </c>
      <c r="M193" s="40" t="str">
        <f aca="false">IF($B193="","",$E193*$F193)</f>
        <v/>
      </c>
      <c r="N193" s="40" t="str">
        <f aca="false">IF($L193="청산",$I193*$F193,"")</f>
        <v/>
      </c>
      <c r="O193" s="40" t="str">
        <f aca="false">IF($B193="","",$G193+$J193+$K193)</f>
        <v/>
      </c>
      <c r="P193" s="41" t="str">
        <f aca="false">IF($L193="청산",$N193-$M193-$O193,"")</f>
        <v/>
      </c>
      <c r="Q193" s="42" t="str">
        <f aca="false">IF($L193="청산",IF($M193=0,"",$P193/$M193),"")</f>
        <v/>
      </c>
      <c r="R193" s="43" t="str">
        <f aca="true">IF($B193="","",IF($L193="청산",$H193-$D193,IF($D193="","",TODAY()-$D193)))</f>
        <v/>
      </c>
      <c r="S193" s="44" t="str">
        <f aca="false">IF($L193="청산",DATE(YEAR($H193),MONTH($H193),1),"")</f>
        <v/>
      </c>
      <c r="T193" s="48"/>
      <c r="U193" s="49"/>
      <c r="V193" s="46" t="str">
        <f aca="false">IF($B193="","",IF($L193&lt;&gt;"청산",N(V192),IF($P193&gt;0,N(V192)+1,0)))</f>
        <v/>
      </c>
      <c r="W193" s="46" t="str">
        <f aca="false">IF($B193="","",IF($L193&lt;&gt;"청산",N(W192),IF($P193&lt;0,N(W192)+1,0)))</f>
        <v/>
      </c>
    </row>
    <row r="194" customFormat="false" ht="15" hidden="false" customHeight="false" outlineLevel="0" collapsed="false">
      <c r="A194" s="32" t="str">
        <f aca="false">IF($B194="","",ROW()-5)</f>
        <v/>
      </c>
      <c r="B194" s="48"/>
      <c r="C194" s="49"/>
      <c r="D194" s="50"/>
      <c r="E194" s="51"/>
      <c r="F194" s="52"/>
      <c r="G194" s="53"/>
      <c r="H194" s="50"/>
      <c r="I194" s="51"/>
      <c r="J194" s="53"/>
      <c r="K194" s="53"/>
      <c r="L194" s="39" t="str">
        <f aca="false">IF($B194="","",IF($H194="","보유중","청산"))</f>
        <v/>
      </c>
      <c r="M194" s="40" t="str">
        <f aca="false">IF($B194="","",$E194*$F194)</f>
        <v/>
      </c>
      <c r="N194" s="40" t="str">
        <f aca="false">IF($L194="청산",$I194*$F194,"")</f>
        <v/>
      </c>
      <c r="O194" s="40" t="str">
        <f aca="false">IF($B194="","",$G194+$J194+$K194)</f>
        <v/>
      </c>
      <c r="P194" s="41" t="str">
        <f aca="false">IF($L194="청산",$N194-$M194-$O194,"")</f>
        <v/>
      </c>
      <c r="Q194" s="42" t="str">
        <f aca="false">IF($L194="청산",IF($M194=0,"",$P194/$M194),"")</f>
        <v/>
      </c>
      <c r="R194" s="43" t="str">
        <f aca="true">IF($B194="","",IF($L194="청산",$H194-$D194,IF($D194="","",TODAY()-$D194)))</f>
        <v/>
      </c>
      <c r="S194" s="44" t="str">
        <f aca="false">IF($L194="청산",DATE(YEAR($H194),MONTH($H194),1),"")</f>
        <v/>
      </c>
      <c r="T194" s="48"/>
      <c r="U194" s="49"/>
      <c r="V194" s="46" t="str">
        <f aca="false">IF($B194="","",IF($L194&lt;&gt;"청산",N(V193),IF($P194&gt;0,N(V193)+1,0)))</f>
        <v/>
      </c>
      <c r="W194" s="46" t="str">
        <f aca="false">IF($B194="","",IF($L194&lt;&gt;"청산",N(W193),IF($P194&lt;0,N(W193)+1,0)))</f>
        <v/>
      </c>
    </row>
    <row r="195" customFormat="false" ht="15" hidden="false" customHeight="false" outlineLevel="0" collapsed="false">
      <c r="A195" s="32" t="str">
        <f aca="false">IF($B195="","",ROW()-5)</f>
        <v/>
      </c>
      <c r="B195" s="48"/>
      <c r="C195" s="49"/>
      <c r="D195" s="50"/>
      <c r="E195" s="51"/>
      <c r="F195" s="52"/>
      <c r="G195" s="53"/>
      <c r="H195" s="50"/>
      <c r="I195" s="51"/>
      <c r="J195" s="53"/>
      <c r="K195" s="53"/>
      <c r="L195" s="39" t="str">
        <f aca="false">IF($B195="","",IF($H195="","보유중","청산"))</f>
        <v/>
      </c>
      <c r="M195" s="40" t="str">
        <f aca="false">IF($B195="","",$E195*$F195)</f>
        <v/>
      </c>
      <c r="N195" s="40" t="str">
        <f aca="false">IF($L195="청산",$I195*$F195,"")</f>
        <v/>
      </c>
      <c r="O195" s="40" t="str">
        <f aca="false">IF($B195="","",$G195+$J195+$K195)</f>
        <v/>
      </c>
      <c r="P195" s="41" t="str">
        <f aca="false">IF($L195="청산",$N195-$M195-$O195,"")</f>
        <v/>
      </c>
      <c r="Q195" s="42" t="str">
        <f aca="false">IF($L195="청산",IF($M195=0,"",$P195/$M195),"")</f>
        <v/>
      </c>
      <c r="R195" s="43" t="str">
        <f aca="true">IF($B195="","",IF($L195="청산",$H195-$D195,IF($D195="","",TODAY()-$D195)))</f>
        <v/>
      </c>
      <c r="S195" s="44" t="str">
        <f aca="false">IF($L195="청산",DATE(YEAR($H195),MONTH($H195),1),"")</f>
        <v/>
      </c>
      <c r="T195" s="48"/>
      <c r="U195" s="49"/>
      <c r="V195" s="46" t="str">
        <f aca="false">IF($B195="","",IF($L195&lt;&gt;"청산",N(V194),IF($P195&gt;0,N(V194)+1,0)))</f>
        <v/>
      </c>
      <c r="W195" s="46" t="str">
        <f aca="false">IF($B195="","",IF($L195&lt;&gt;"청산",N(W194),IF($P195&lt;0,N(W194)+1,0)))</f>
        <v/>
      </c>
    </row>
    <row r="196" customFormat="false" ht="15" hidden="false" customHeight="false" outlineLevel="0" collapsed="false">
      <c r="A196" s="32" t="str">
        <f aca="false">IF($B196="","",ROW()-5)</f>
        <v/>
      </c>
      <c r="B196" s="48"/>
      <c r="C196" s="49"/>
      <c r="D196" s="50"/>
      <c r="E196" s="51"/>
      <c r="F196" s="52"/>
      <c r="G196" s="53"/>
      <c r="H196" s="50"/>
      <c r="I196" s="51"/>
      <c r="J196" s="53"/>
      <c r="K196" s="53"/>
      <c r="L196" s="39" t="str">
        <f aca="false">IF($B196="","",IF($H196="","보유중","청산"))</f>
        <v/>
      </c>
      <c r="M196" s="40" t="str">
        <f aca="false">IF($B196="","",$E196*$F196)</f>
        <v/>
      </c>
      <c r="N196" s="40" t="str">
        <f aca="false">IF($L196="청산",$I196*$F196,"")</f>
        <v/>
      </c>
      <c r="O196" s="40" t="str">
        <f aca="false">IF($B196="","",$G196+$J196+$K196)</f>
        <v/>
      </c>
      <c r="P196" s="41" t="str">
        <f aca="false">IF($L196="청산",$N196-$M196-$O196,"")</f>
        <v/>
      </c>
      <c r="Q196" s="42" t="str">
        <f aca="false">IF($L196="청산",IF($M196=0,"",$P196/$M196),"")</f>
        <v/>
      </c>
      <c r="R196" s="43" t="str">
        <f aca="true">IF($B196="","",IF($L196="청산",$H196-$D196,IF($D196="","",TODAY()-$D196)))</f>
        <v/>
      </c>
      <c r="S196" s="44" t="str">
        <f aca="false">IF($L196="청산",DATE(YEAR($H196),MONTH($H196),1),"")</f>
        <v/>
      </c>
      <c r="T196" s="48"/>
      <c r="U196" s="49"/>
      <c r="V196" s="46" t="str">
        <f aca="false">IF($B196="","",IF($L196&lt;&gt;"청산",N(V195),IF($P196&gt;0,N(V195)+1,0)))</f>
        <v/>
      </c>
      <c r="W196" s="46" t="str">
        <f aca="false">IF($B196="","",IF($L196&lt;&gt;"청산",N(W195),IF($P196&lt;0,N(W195)+1,0)))</f>
        <v/>
      </c>
    </row>
    <row r="197" customFormat="false" ht="15" hidden="false" customHeight="false" outlineLevel="0" collapsed="false">
      <c r="A197" s="32" t="str">
        <f aca="false">IF($B197="","",ROW()-5)</f>
        <v/>
      </c>
      <c r="B197" s="48"/>
      <c r="C197" s="49"/>
      <c r="D197" s="50"/>
      <c r="E197" s="51"/>
      <c r="F197" s="52"/>
      <c r="G197" s="53"/>
      <c r="H197" s="50"/>
      <c r="I197" s="51"/>
      <c r="J197" s="53"/>
      <c r="K197" s="53"/>
      <c r="L197" s="39" t="str">
        <f aca="false">IF($B197="","",IF($H197="","보유중","청산"))</f>
        <v/>
      </c>
      <c r="M197" s="40" t="str">
        <f aca="false">IF($B197="","",$E197*$F197)</f>
        <v/>
      </c>
      <c r="N197" s="40" t="str">
        <f aca="false">IF($L197="청산",$I197*$F197,"")</f>
        <v/>
      </c>
      <c r="O197" s="40" t="str">
        <f aca="false">IF($B197="","",$G197+$J197+$K197)</f>
        <v/>
      </c>
      <c r="P197" s="41" t="str">
        <f aca="false">IF($L197="청산",$N197-$M197-$O197,"")</f>
        <v/>
      </c>
      <c r="Q197" s="42" t="str">
        <f aca="false">IF($L197="청산",IF($M197=0,"",$P197/$M197),"")</f>
        <v/>
      </c>
      <c r="R197" s="43" t="str">
        <f aca="true">IF($B197="","",IF($L197="청산",$H197-$D197,IF($D197="","",TODAY()-$D197)))</f>
        <v/>
      </c>
      <c r="S197" s="44" t="str">
        <f aca="false">IF($L197="청산",DATE(YEAR($H197),MONTH($H197),1),"")</f>
        <v/>
      </c>
      <c r="T197" s="48"/>
      <c r="U197" s="49"/>
      <c r="V197" s="46" t="str">
        <f aca="false">IF($B197="","",IF($L197&lt;&gt;"청산",N(V196),IF($P197&gt;0,N(V196)+1,0)))</f>
        <v/>
      </c>
      <c r="W197" s="46" t="str">
        <f aca="false">IF($B197="","",IF($L197&lt;&gt;"청산",N(W196),IF($P197&lt;0,N(W196)+1,0)))</f>
        <v/>
      </c>
    </row>
    <row r="198" customFormat="false" ht="15" hidden="false" customHeight="false" outlineLevel="0" collapsed="false">
      <c r="A198" s="32" t="str">
        <f aca="false">IF($B198="","",ROW()-5)</f>
        <v/>
      </c>
      <c r="B198" s="48"/>
      <c r="C198" s="49"/>
      <c r="D198" s="50"/>
      <c r="E198" s="51"/>
      <c r="F198" s="52"/>
      <c r="G198" s="53"/>
      <c r="H198" s="50"/>
      <c r="I198" s="51"/>
      <c r="J198" s="53"/>
      <c r="K198" s="53"/>
      <c r="L198" s="39" t="str">
        <f aca="false">IF($B198="","",IF($H198="","보유중","청산"))</f>
        <v/>
      </c>
      <c r="M198" s="40" t="str">
        <f aca="false">IF($B198="","",$E198*$F198)</f>
        <v/>
      </c>
      <c r="N198" s="40" t="str">
        <f aca="false">IF($L198="청산",$I198*$F198,"")</f>
        <v/>
      </c>
      <c r="O198" s="40" t="str">
        <f aca="false">IF($B198="","",$G198+$J198+$K198)</f>
        <v/>
      </c>
      <c r="P198" s="41" t="str">
        <f aca="false">IF($L198="청산",$N198-$M198-$O198,"")</f>
        <v/>
      </c>
      <c r="Q198" s="42" t="str">
        <f aca="false">IF($L198="청산",IF($M198=0,"",$P198/$M198),"")</f>
        <v/>
      </c>
      <c r="R198" s="43" t="str">
        <f aca="true">IF($B198="","",IF($L198="청산",$H198-$D198,IF($D198="","",TODAY()-$D198)))</f>
        <v/>
      </c>
      <c r="S198" s="44" t="str">
        <f aca="false">IF($L198="청산",DATE(YEAR($H198),MONTH($H198),1),"")</f>
        <v/>
      </c>
      <c r="T198" s="48"/>
      <c r="U198" s="49"/>
      <c r="V198" s="46" t="str">
        <f aca="false">IF($B198="","",IF($L198&lt;&gt;"청산",N(V197),IF($P198&gt;0,N(V197)+1,0)))</f>
        <v/>
      </c>
      <c r="W198" s="46" t="str">
        <f aca="false">IF($B198="","",IF($L198&lt;&gt;"청산",N(W197),IF($P198&lt;0,N(W197)+1,0)))</f>
        <v/>
      </c>
    </row>
    <row r="199" customFormat="false" ht="15" hidden="false" customHeight="false" outlineLevel="0" collapsed="false">
      <c r="A199" s="32" t="str">
        <f aca="false">IF($B199="","",ROW()-5)</f>
        <v/>
      </c>
      <c r="B199" s="48"/>
      <c r="C199" s="49"/>
      <c r="D199" s="50"/>
      <c r="E199" s="51"/>
      <c r="F199" s="52"/>
      <c r="G199" s="53"/>
      <c r="H199" s="50"/>
      <c r="I199" s="51"/>
      <c r="J199" s="53"/>
      <c r="K199" s="53"/>
      <c r="L199" s="39" t="str">
        <f aca="false">IF($B199="","",IF($H199="","보유중","청산"))</f>
        <v/>
      </c>
      <c r="M199" s="40" t="str">
        <f aca="false">IF($B199="","",$E199*$F199)</f>
        <v/>
      </c>
      <c r="N199" s="40" t="str">
        <f aca="false">IF($L199="청산",$I199*$F199,"")</f>
        <v/>
      </c>
      <c r="O199" s="40" t="str">
        <f aca="false">IF($B199="","",$G199+$J199+$K199)</f>
        <v/>
      </c>
      <c r="P199" s="41" t="str">
        <f aca="false">IF($L199="청산",$N199-$M199-$O199,"")</f>
        <v/>
      </c>
      <c r="Q199" s="42" t="str">
        <f aca="false">IF($L199="청산",IF($M199=0,"",$P199/$M199),"")</f>
        <v/>
      </c>
      <c r="R199" s="43" t="str">
        <f aca="true">IF($B199="","",IF($L199="청산",$H199-$D199,IF($D199="","",TODAY()-$D199)))</f>
        <v/>
      </c>
      <c r="S199" s="44" t="str">
        <f aca="false">IF($L199="청산",DATE(YEAR($H199),MONTH($H199),1),"")</f>
        <v/>
      </c>
      <c r="T199" s="48"/>
      <c r="U199" s="49"/>
      <c r="V199" s="46" t="str">
        <f aca="false">IF($B199="","",IF($L199&lt;&gt;"청산",N(V198),IF($P199&gt;0,N(V198)+1,0)))</f>
        <v/>
      </c>
      <c r="W199" s="46" t="str">
        <f aca="false">IF($B199="","",IF($L199&lt;&gt;"청산",N(W198),IF($P199&lt;0,N(W198)+1,0)))</f>
        <v/>
      </c>
    </row>
    <row r="200" customFormat="false" ht="15" hidden="false" customHeight="false" outlineLevel="0" collapsed="false">
      <c r="A200" s="32" t="str">
        <f aca="false">IF($B200="","",ROW()-5)</f>
        <v/>
      </c>
      <c r="B200" s="48"/>
      <c r="C200" s="49"/>
      <c r="D200" s="50"/>
      <c r="E200" s="51"/>
      <c r="F200" s="52"/>
      <c r="G200" s="53"/>
      <c r="H200" s="50"/>
      <c r="I200" s="51"/>
      <c r="J200" s="53"/>
      <c r="K200" s="53"/>
      <c r="L200" s="39" t="str">
        <f aca="false">IF($B200="","",IF($H200="","보유중","청산"))</f>
        <v/>
      </c>
      <c r="M200" s="40" t="str">
        <f aca="false">IF($B200="","",$E200*$F200)</f>
        <v/>
      </c>
      <c r="N200" s="40" t="str">
        <f aca="false">IF($L200="청산",$I200*$F200,"")</f>
        <v/>
      </c>
      <c r="O200" s="40" t="str">
        <f aca="false">IF($B200="","",$G200+$J200+$K200)</f>
        <v/>
      </c>
      <c r="P200" s="41" t="str">
        <f aca="false">IF($L200="청산",$N200-$M200-$O200,"")</f>
        <v/>
      </c>
      <c r="Q200" s="42" t="str">
        <f aca="false">IF($L200="청산",IF($M200=0,"",$P200/$M200),"")</f>
        <v/>
      </c>
      <c r="R200" s="43" t="str">
        <f aca="true">IF($B200="","",IF($L200="청산",$H200-$D200,IF($D200="","",TODAY()-$D200)))</f>
        <v/>
      </c>
      <c r="S200" s="44" t="str">
        <f aca="false">IF($L200="청산",DATE(YEAR($H200),MONTH($H200),1),"")</f>
        <v/>
      </c>
      <c r="T200" s="48"/>
      <c r="U200" s="49"/>
      <c r="V200" s="46" t="str">
        <f aca="false">IF($B200="","",IF($L200&lt;&gt;"청산",N(V199),IF($P200&gt;0,N(V199)+1,0)))</f>
        <v/>
      </c>
      <c r="W200" s="46" t="str">
        <f aca="false">IF($B200="","",IF($L200&lt;&gt;"청산",N(W199),IF($P200&lt;0,N(W199)+1,0)))</f>
        <v/>
      </c>
    </row>
    <row r="201" customFormat="false" ht="15" hidden="false" customHeight="false" outlineLevel="0" collapsed="false">
      <c r="A201" s="32" t="str">
        <f aca="false">IF($B201="","",ROW()-5)</f>
        <v/>
      </c>
      <c r="B201" s="48"/>
      <c r="C201" s="49"/>
      <c r="D201" s="50"/>
      <c r="E201" s="51"/>
      <c r="F201" s="52"/>
      <c r="G201" s="53"/>
      <c r="H201" s="50"/>
      <c r="I201" s="51"/>
      <c r="J201" s="53"/>
      <c r="K201" s="53"/>
      <c r="L201" s="39" t="str">
        <f aca="false">IF($B201="","",IF($H201="","보유중","청산"))</f>
        <v/>
      </c>
      <c r="M201" s="40" t="str">
        <f aca="false">IF($B201="","",$E201*$F201)</f>
        <v/>
      </c>
      <c r="N201" s="40" t="str">
        <f aca="false">IF($L201="청산",$I201*$F201,"")</f>
        <v/>
      </c>
      <c r="O201" s="40" t="str">
        <f aca="false">IF($B201="","",$G201+$J201+$K201)</f>
        <v/>
      </c>
      <c r="P201" s="41" t="str">
        <f aca="false">IF($L201="청산",$N201-$M201-$O201,"")</f>
        <v/>
      </c>
      <c r="Q201" s="42" t="str">
        <f aca="false">IF($L201="청산",IF($M201=0,"",$P201/$M201),"")</f>
        <v/>
      </c>
      <c r="R201" s="43" t="str">
        <f aca="true">IF($B201="","",IF($L201="청산",$H201-$D201,IF($D201="","",TODAY()-$D201)))</f>
        <v/>
      </c>
      <c r="S201" s="44" t="str">
        <f aca="false">IF($L201="청산",DATE(YEAR($H201),MONTH($H201),1),"")</f>
        <v/>
      </c>
      <c r="T201" s="48"/>
      <c r="U201" s="49"/>
      <c r="V201" s="46" t="str">
        <f aca="false">IF($B201="","",IF($L201&lt;&gt;"청산",N(V200),IF($P201&gt;0,N(V200)+1,0)))</f>
        <v/>
      </c>
      <c r="W201" s="46" t="str">
        <f aca="false">IF($B201="","",IF($L201&lt;&gt;"청산",N(W200),IF($P201&lt;0,N(W200)+1,0)))</f>
        <v/>
      </c>
    </row>
    <row r="202" customFormat="false" ht="15" hidden="false" customHeight="false" outlineLevel="0" collapsed="false">
      <c r="A202" s="32" t="str">
        <f aca="false">IF($B202="","",ROW()-5)</f>
        <v/>
      </c>
      <c r="B202" s="48"/>
      <c r="C202" s="49"/>
      <c r="D202" s="50"/>
      <c r="E202" s="51"/>
      <c r="F202" s="52"/>
      <c r="G202" s="53"/>
      <c r="H202" s="50"/>
      <c r="I202" s="51"/>
      <c r="J202" s="53"/>
      <c r="K202" s="53"/>
      <c r="L202" s="39" t="str">
        <f aca="false">IF($B202="","",IF($H202="","보유중","청산"))</f>
        <v/>
      </c>
      <c r="M202" s="40" t="str">
        <f aca="false">IF($B202="","",$E202*$F202)</f>
        <v/>
      </c>
      <c r="N202" s="40" t="str">
        <f aca="false">IF($L202="청산",$I202*$F202,"")</f>
        <v/>
      </c>
      <c r="O202" s="40" t="str">
        <f aca="false">IF($B202="","",$G202+$J202+$K202)</f>
        <v/>
      </c>
      <c r="P202" s="41" t="str">
        <f aca="false">IF($L202="청산",$N202-$M202-$O202,"")</f>
        <v/>
      </c>
      <c r="Q202" s="42" t="str">
        <f aca="false">IF($L202="청산",IF($M202=0,"",$P202/$M202),"")</f>
        <v/>
      </c>
      <c r="R202" s="43" t="str">
        <f aca="true">IF($B202="","",IF($L202="청산",$H202-$D202,IF($D202="","",TODAY()-$D202)))</f>
        <v/>
      </c>
      <c r="S202" s="44" t="str">
        <f aca="false">IF($L202="청산",DATE(YEAR($H202),MONTH($H202),1),"")</f>
        <v/>
      </c>
      <c r="T202" s="48"/>
      <c r="U202" s="49"/>
      <c r="V202" s="46" t="str">
        <f aca="false">IF($B202="","",IF($L202&lt;&gt;"청산",N(V201),IF($P202&gt;0,N(V201)+1,0)))</f>
        <v/>
      </c>
      <c r="W202" s="46" t="str">
        <f aca="false">IF($B202="","",IF($L202&lt;&gt;"청산",N(W201),IF($P202&lt;0,N(W201)+1,0)))</f>
        <v/>
      </c>
    </row>
    <row r="203" customFormat="false" ht="15" hidden="false" customHeight="false" outlineLevel="0" collapsed="false">
      <c r="A203" s="32" t="str">
        <f aca="false">IF($B203="","",ROW()-5)</f>
        <v/>
      </c>
      <c r="B203" s="48"/>
      <c r="C203" s="49"/>
      <c r="D203" s="50"/>
      <c r="E203" s="51"/>
      <c r="F203" s="52"/>
      <c r="G203" s="53"/>
      <c r="H203" s="50"/>
      <c r="I203" s="51"/>
      <c r="J203" s="53"/>
      <c r="K203" s="53"/>
      <c r="L203" s="39" t="str">
        <f aca="false">IF($B203="","",IF($H203="","보유중","청산"))</f>
        <v/>
      </c>
      <c r="M203" s="40" t="str">
        <f aca="false">IF($B203="","",$E203*$F203)</f>
        <v/>
      </c>
      <c r="N203" s="40" t="str">
        <f aca="false">IF($L203="청산",$I203*$F203,"")</f>
        <v/>
      </c>
      <c r="O203" s="40" t="str">
        <f aca="false">IF($B203="","",$G203+$J203+$K203)</f>
        <v/>
      </c>
      <c r="P203" s="41" t="str">
        <f aca="false">IF($L203="청산",$N203-$M203-$O203,"")</f>
        <v/>
      </c>
      <c r="Q203" s="42" t="str">
        <f aca="false">IF($L203="청산",IF($M203=0,"",$P203/$M203),"")</f>
        <v/>
      </c>
      <c r="R203" s="43" t="str">
        <f aca="true">IF($B203="","",IF($L203="청산",$H203-$D203,IF($D203="","",TODAY()-$D203)))</f>
        <v/>
      </c>
      <c r="S203" s="44" t="str">
        <f aca="false">IF($L203="청산",DATE(YEAR($H203),MONTH($H203),1),"")</f>
        <v/>
      </c>
      <c r="T203" s="48"/>
      <c r="U203" s="49"/>
      <c r="V203" s="46" t="str">
        <f aca="false">IF($B203="","",IF($L203&lt;&gt;"청산",N(V202),IF($P203&gt;0,N(V202)+1,0)))</f>
        <v/>
      </c>
      <c r="W203" s="46" t="str">
        <f aca="false">IF($B203="","",IF($L203&lt;&gt;"청산",N(W202),IF($P203&lt;0,N(W202)+1,0)))</f>
        <v/>
      </c>
    </row>
    <row r="204" customFormat="false" ht="15" hidden="false" customHeight="false" outlineLevel="0" collapsed="false">
      <c r="A204" s="32" t="str">
        <f aca="false">IF($B204="","",ROW()-5)</f>
        <v/>
      </c>
      <c r="B204" s="48"/>
      <c r="C204" s="49"/>
      <c r="D204" s="50"/>
      <c r="E204" s="51"/>
      <c r="F204" s="52"/>
      <c r="G204" s="53"/>
      <c r="H204" s="50"/>
      <c r="I204" s="51"/>
      <c r="J204" s="53"/>
      <c r="K204" s="53"/>
      <c r="L204" s="39" t="str">
        <f aca="false">IF($B204="","",IF($H204="","보유중","청산"))</f>
        <v/>
      </c>
      <c r="M204" s="40" t="str">
        <f aca="false">IF($B204="","",$E204*$F204)</f>
        <v/>
      </c>
      <c r="N204" s="40" t="str">
        <f aca="false">IF($L204="청산",$I204*$F204,"")</f>
        <v/>
      </c>
      <c r="O204" s="40" t="str">
        <f aca="false">IF($B204="","",$G204+$J204+$K204)</f>
        <v/>
      </c>
      <c r="P204" s="41" t="str">
        <f aca="false">IF($L204="청산",$N204-$M204-$O204,"")</f>
        <v/>
      </c>
      <c r="Q204" s="42" t="str">
        <f aca="false">IF($L204="청산",IF($M204=0,"",$P204/$M204),"")</f>
        <v/>
      </c>
      <c r="R204" s="43" t="str">
        <f aca="true">IF($B204="","",IF($L204="청산",$H204-$D204,IF($D204="","",TODAY()-$D204)))</f>
        <v/>
      </c>
      <c r="S204" s="44" t="str">
        <f aca="false">IF($L204="청산",DATE(YEAR($H204),MONTH($H204),1),"")</f>
        <v/>
      </c>
      <c r="T204" s="48"/>
      <c r="U204" s="49"/>
      <c r="V204" s="46" t="str">
        <f aca="false">IF($B204="","",IF($L204&lt;&gt;"청산",N(V203),IF($P204&gt;0,N(V203)+1,0)))</f>
        <v/>
      </c>
      <c r="W204" s="46" t="str">
        <f aca="false">IF($B204="","",IF($L204&lt;&gt;"청산",N(W203),IF($P204&lt;0,N(W203)+1,0)))</f>
        <v/>
      </c>
    </row>
    <row r="205" customFormat="false" ht="15" hidden="false" customHeight="false" outlineLevel="0" collapsed="false">
      <c r="A205" s="32" t="str">
        <f aca="false">IF($B205="","",ROW()-5)</f>
        <v/>
      </c>
      <c r="B205" s="48"/>
      <c r="C205" s="49"/>
      <c r="D205" s="50"/>
      <c r="E205" s="51"/>
      <c r="F205" s="52"/>
      <c r="G205" s="53"/>
      <c r="H205" s="50"/>
      <c r="I205" s="51"/>
      <c r="J205" s="53"/>
      <c r="K205" s="53"/>
      <c r="L205" s="39" t="str">
        <f aca="false">IF($B205="","",IF($H205="","보유중","청산"))</f>
        <v/>
      </c>
      <c r="M205" s="40" t="str">
        <f aca="false">IF($B205="","",$E205*$F205)</f>
        <v/>
      </c>
      <c r="N205" s="40" t="str">
        <f aca="false">IF($L205="청산",$I205*$F205,"")</f>
        <v/>
      </c>
      <c r="O205" s="40" t="str">
        <f aca="false">IF($B205="","",$G205+$J205+$K205)</f>
        <v/>
      </c>
      <c r="P205" s="41" t="str">
        <f aca="false">IF($L205="청산",$N205-$M205-$O205,"")</f>
        <v/>
      </c>
      <c r="Q205" s="42" t="str">
        <f aca="false">IF($L205="청산",IF($M205=0,"",$P205/$M205),"")</f>
        <v/>
      </c>
      <c r="R205" s="43" t="str">
        <f aca="true">IF($B205="","",IF($L205="청산",$H205-$D205,IF($D205="","",TODAY()-$D205)))</f>
        <v/>
      </c>
      <c r="S205" s="44" t="str">
        <f aca="false">IF($L205="청산",DATE(YEAR($H205),MONTH($H205),1),"")</f>
        <v/>
      </c>
      <c r="T205" s="48"/>
      <c r="U205" s="49"/>
      <c r="V205" s="46" t="str">
        <f aca="false">IF($B205="","",IF($L205&lt;&gt;"청산",N(V204),IF($P205&gt;0,N(V204)+1,0)))</f>
        <v/>
      </c>
      <c r="W205" s="46" t="str">
        <f aca="false">IF($B205="","",IF($L205&lt;&gt;"청산",N(W204),IF($P205&lt;0,N(W204)+1,0)))</f>
        <v/>
      </c>
    </row>
    <row r="206" customFormat="false" ht="15" hidden="false" customHeight="false" outlineLevel="0" collapsed="false">
      <c r="A206" s="32" t="str">
        <f aca="false">IF($B206="","",ROW()-5)</f>
        <v/>
      </c>
      <c r="B206" s="48"/>
      <c r="C206" s="49"/>
      <c r="D206" s="50"/>
      <c r="E206" s="51"/>
      <c r="F206" s="52"/>
      <c r="G206" s="53"/>
      <c r="H206" s="50"/>
      <c r="I206" s="51"/>
      <c r="J206" s="53"/>
      <c r="K206" s="53"/>
      <c r="L206" s="39" t="str">
        <f aca="false">IF($B206="","",IF($H206="","보유중","청산"))</f>
        <v/>
      </c>
      <c r="M206" s="40" t="str">
        <f aca="false">IF($B206="","",$E206*$F206)</f>
        <v/>
      </c>
      <c r="N206" s="40" t="str">
        <f aca="false">IF($L206="청산",$I206*$F206,"")</f>
        <v/>
      </c>
      <c r="O206" s="40" t="str">
        <f aca="false">IF($B206="","",$G206+$J206+$K206)</f>
        <v/>
      </c>
      <c r="P206" s="41" t="str">
        <f aca="false">IF($L206="청산",$N206-$M206-$O206,"")</f>
        <v/>
      </c>
      <c r="Q206" s="42" t="str">
        <f aca="false">IF($L206="청산",IF($M206=0,"",$P206/$M206),"")</f>
        <v/>
      </c>
      <c r="R206" s="43" t="str">
        <f aca="true">IF($B206="","",IF($L206="청산",$H206-$D206,IF($D206="","",TODAY()-$D206)))</f>
        <v/>
      </c>
      <c r="S206" s="44" t="str">
        <f aca="false">IF($L206="청산",DATE(YEAR($H206),MONTH($H206),1),"")</f>
        <v/>
      </c>
      <c r="T206" s="48"/>
      <c r="U206" s="49"/>
      <c r="V206" s="46" t="str">
        <f aca="false">IF($B206="","",IF($L206&lt;&gt;"청산",N(V205),IF($P206&gt;0,N(V205)+1,0)))</f>
        <v/>
      </c>
      <c r="W206" s="46" t="str">
        <f aca="false">IF($B206="","",IF($L206&lt;&gt;"청산",N(W205),IF($P206&lt;0,N(W205)+1,0)))</f>
        <v/>
      </c>
    </row>
    <row r="207" customFormat="false" ht="15" hidden="false" customHeight="false" outlineLevel="0" collapsed="false">
      <c r="A207" s="32" t="str">
        <f aca="false">IF($B207="","",ROW()-5)</f>
        <v/>
      </c>
      <c r="B207" s="48"/>
      <c r="C207" s="49"/>
      <c r="D207" s="50"/>
      <c r="E207" s="51"/>
      <c r="F207" s="52"/>
      <c r="G207" s="53"/>
      <c r="H207" s="50"/>
      <c r="I207" s="51"/>
      <c r="J207" s="53"/>
      <c r="K207" s="53"/>
      <c r="L207" s="39" t="str">
        <f aca="false">IF($B207="","",IF($H207="","보유중","청산"))</f>
        <v/>
      </c>
      <c r="M207" s="40" t="str">
        <f aca="false">IF($B207="","",$E207*$F207)</f>
        <v/>
      </c>
      <c r="N207" s="40" t="str">
        <f aca="false">IF($L207="청산",$I207*$F207,"")</f>
        <v/>
      </c>
      <c r="O207" s="40" t="str">
        <f aca="false">IF($B207="","",$G207+$J207+$K207)</f>
        <v/>
      </c>
      <c r="P207" s="41" t="str">
        <f aca="false">IF($L207="청산",$N207-$M207-$O207,"")</f>
        <v/>
      </c>
      <c r="Q207" s="42" t="str">
        <f aca="false">IF($L207="청산",IF($M207=0,"",$P207/$M207),"")</f>
        <v/>
      </c>
      <c r="R207" s="43" t="str">
        <f aca="true">IF($B207="","",IF($L207="청산",$H207-$D207,IF($D207="","",TODAY()-$D207)))</f>
        <v/>
      </c>
      <c r="S207" s="44" t="str">
        <f aca="false">IF($L207="청산",DATE(YEAR($H207),MONTH($H207),1),"")</f>
        <v/>
      </c>
      <c r="T207" s="48"/>
      <c r="U207" s="49"/>
      <c r="V207" s="46" t="str">
        <f aca="false">IF($B207="","",IF($L207&lt;&gt;"청산",N(V206),IF($P207&gt;0,N(V206)+1,0)))</f>
        <v/>
      </c>
      <c r="W207" s="46" t="str">
        <f aca="false">IF($B207="","",IF($L207&lt;&gt;"청산",N(W206),IF($P207&lt;0,N(W206)+1,0)))</f>
        <v/>
      </c>
    </row>
    <row r="208" customFormat="false" ht="15" hidden="false" customHeight="false" outlineLevel="0" collapsed="false">
      <c r="A208" s="32" t="str">
        <f aca="false">IF($B208="","",ROW()-5)</f>
        <v/>
      </c>
      <c r="B208" s="48"/>
      <c r="C208" s="49"/>
      <c r="D208" s="50"/>
      <c r="E208" s="51"/>
      <c r="F208" s="52"/>
      <c r="G208" s="53"/>
      <c r="H208" s="50"/>
      <c r="I208" s="51"/>
      <c r="J208" s="53"/>
      <c r="K208" s="53"/>
      <c r="L208" s="39" t="str">
        <f aca="false">IF($B208="","",IF($H208="","보유중","청산"))</f>
        <v/>
      </c>
      <c r="M208" s="40" t="str">
        <f aca="false">IF($B208="","",$E208*$F208)</f>
        <v/>
      </c>
      <c r="N208" s="40" t="str">
        <f aca="false">IF($L208="청산",$I208*$F208,"")</f>
        <v/>
      </c>
      <c r="O208" s="40" t="str">
        <f aca="false">IF($B208="","",$G208+$J208+$K208)</f>
        <v/>
      </c>
      <c r="P208" s="41" t="str">
        <f aca="false">IF($L208="청산",$N208-$M208-$O208,"")</f>
        <v/>
      </c>
      <c r="Q208" s="42" t="str">
        <f aca="false">IF($L208="청산",IF($M208=0,"",$P208/$M208),"")</f>
        <v/>
      </c>
      <c r="R208" s="43" t="str">
        <f aca="true">IF($B208="","",IF($L208="청산",$H208-$D208,IF($D208="","",TODAY()-$D208)))</f>
        <v/>
      </c>
      <c r="S208" s="44" t="str">
        <f aca="false">IF($L208="청산",DATE(YEAR($H208),MONTH($H208),1),"")</f>
        <v/>
      </c>
      <c r="T208" s="48"/>
      <c r="U208" s="49"/>
      <c r="V208" s="46" t="str">
        <f aca="false">IF($B208="","",IF($L208&lt;&gt;"청산",N(V207),IF($P208&gt;0,N(V207)+1,0)))</f>
        <v/>
      </c>
      <c r="W208" s="46" t="str">
        <f aca="false">IF($B208="","",IF($L208&lt;&gt;"청산",N(W207),IF($P208&lt;0,N(W207)+1,0)))</f>
        <v/>
      </c>
    </row>
    <row r="209" customFormat="false" ht="15" hidden="false" customHeight="false" outlineLevel="0" collapsed="false">
      <c r="A209" s="32" t="str">
        <f aca="false">IF($B209="","",ROW()-5)</f>
        <v/>
      </c>
      <c r="B209" s="48"/>
      <c r="C209" s="49"/>
      <c r="D209" s="50"/>
      <c r="E209" s="51"/>
      <c r="F209" s="52"/>
      <c r="G209" s="53"/>
      <c r="H209" s="50"/>
      <c r="I209" s="51"/>
      <c r="J209" s="53"/>
      <c r="K209" s="53"/>
      <c r="L209" s="39" t="str">
        <f aca="false">IF($B209="","",IF($H209="","보유중","청산"))</f>
        <v/>
      </c>
      <c r="M209" s="40" t="str">
        <f aca="false">IF($B209="","",$E209*$F209)</f>
        <v/>
      </c>
      <c r="N209" s="40" t="str">
        <f aca="false">IF($L209="청산",$I209*$F209,"")</f>
        <v/>
      </c>
      <c r="O209" s="40" t="str">
        <f aca="false">IF($B209="","",$G209+$J209+$K209)</f>
        <v/>
      </c>
      <c r="P209" s="41" t="str">
        <f aca="false">IF($L209="청산",$N209-$M209-$O209,"")</f>
        <v/>
      </c>
      <c r="Q209" s="42" t="str">
        <f aca="false">IF($L209="청산",IF($M209=0,"",$P209/$M209),"")</f>
        <v/>
      </c>
      <c r="R209" s="43" t="str">
        <f aca="true">IF($B209="","",IF($L209="청산",$H209-$D209,IF($D209="","",TODAY()-$D209)))</f>
        <v/>
      </c>
      <c r="S209" s="44" t="str">
        <f aca="false">IF($L209="청산",DATE(YEAR($H209),MONTH($H209),1),"")</f>
        <v/>
      </c>
      <c r="T209" s="48"/>
      <c r="U209" s="49"/>
      <c r="V209" s="46" t="str">
        <f aca="false">IF($B209="","",IF($L209&lt;&gt;"청산",N(V208),IF($P209&gt;0,N(V208)+1,0)))</f>
        <v/>
      </c>
      <c r="W209" s="46" t="str">
        <f aca="false">IF($B209="","",IF($L209&lt;&gt;"청산",N(W208),IF($P209&lt;0,N(W208)+1,0)))</f>
        <v/>
      </c>
    </row>
    <row r="210" customFormat="false" ht="15" hidden="false" customHeight="false" outlineLevel="0" collapsed="false">
      <c r="A210" s="32" t="str">
        <f aca="false">IF($B210="","",ROW()-5)</f>
        <v/>
      </c>
      <c r="B210" s="48"/>
      <c r="C210" s="49"/>
      <c r="D210" s="50"/>
      <c r="E210" s="51"/>
      <c r="F210" s="52"/>
      <c r="G210" s="53"/>
      <c r="H210" s="50"/>
      <c r="I210" s="51"/>
      <c r="J210" s="53"/>
      <c r="K210" s="53"/>
      <c r="L210" s="39" t="str">
        <f aca="false">IF($B210="","",IF($H210="","보유중","청산"))</f>
        <v/>
      </c>
      <c r="M210" s="40" t="str">
        <f aca="false">IF($B210="","",$E210*$F210)</f>
        <v/>
      </c>
      <c r="N210" s="40" t="str">
        <f aca="false">IF($L210="청산",$I210*$F210,"")</f>
        <v/>
      </c>
      <c r="O210" s="40" t="str">
        <f aca="false">IF($B210="","",$G210+$J210+$K210)</f>
        <v/>
      </c>
      <c r="P210" s="41" t="str">
        <f aca="false">IF($L210="청산",$N210-$M210-$O210,"")</f>
        <v/>
      </c>
      <c r="Q210" s="42" t="str">
        <f aca="false">IF($L210="청산",IF($M210=0,"",$P210/$M210),"")</f>
        <v/>
      </c>
      <c r="R210" s="43" t="str">
        <f aca="true">IF($B210="","",IF($L210="청산",$H210-$D210,IF($D210="","",TODAY()-$D210)))</f>
        <v/>
      </c>
      <c r="S210" s="44" t="str">
        <f aca="false">IF($L210="청산",DATE(YEAR($H210),MONTH($H210),1),"")</f>
        <v/>
      </c>
      <c r="T210" s="48"/>
      <c r="U210" s="49"/>
      <c r="V210" s="46" t="str">
        <f aca="false">IF($B210="","",IF($L210&lt;&gt;"청산",N(V209),IF($P210&gt;0,N(V209)+1,0)))</f>
        <v/>
      </c>
      <c r="W210" s="46" t="str">
        <f aca="false">IF($B210="","",IF($L210&lt;&gt;"청산",N(W209),IF($P210&lt;0,N(W209)+1,0)))</f>
        <v/>
      </c>
    </row>
    <row r="211" customFormat="false" ht="15" hidden="false" customHeight="false" outlineLevel="0" collapsed="false">
      <c r="A211" s="32" t="str">
        <f aca="false">IF($B211="","",ROW()-5)</f>
        <v/>
      </c>
      <c r="B211" s="48"/>
      <c r="C211" s="49"/>
      <c r="D211" s="50"/>
      <c r="E211" s="51"/>
      <c r="F211" s="52"/>
      <c r="G211" s="53"/>
      <c r="H211" s="50"/>
      <c r="I211" s="51"/>
      <c r="J211" s="53"/>
      <c r="K211" s="53"/>
      <c r="L211" s="39" t="str">
        <f aca="false">IF($B211="","",IF($H211="","보유중","청산"))</f>
        <v/>
      </c>
      <c r="M211" s="40" t="str">
        <f aca="false">IF($B211="","",$E211*$F211)</f>
        <v/>
      </c>
      <c r="N211" s="40" t="str">
        <f aca="false">IF($L211="청산",$I211*$F211,"")</f>
        <v/>
      </c>
      <c r="O211" s="40" t="str">
        <f aca="false">IF($B211="","",$G211+$J211+$K211)</f>
        <v/>
      </c>
      <c r="P211" s="41" t="str">
        <f aca="false">IF($L211="청산",$N211-$M211-$O211,"")</f>
        <v/>
      </c>
      <c r="Q211" s="42" t="str">
        <f aca="false">IF($L211="청산",IF($M211=0,"",$P211/$M211),"")</f>
        <v/>
      </c>
      <c r="R211" s="43" t="str">
        <f aca="true">IF($B211="","",IF($L211="청산",$H211-$D211,IF($D211="","",TODAY()-$D211)))</f>
        <v/>
      </c>
      <c r="S211" s="44" t="str">
        <f aca="false">IF($L211="청산",DATE(YEAR($H211),MONTH($H211),1),"")</f>
        <v/>
      </c>
      <c r="T211" s="48"/>
      <c r="U211" s="49"/>
      <c r="V211" s="46" t="str">
        <f aca="false">IF($B211="","",IF($L211&lt;&gt;"청산",N(V210),IF($P211&gt;0,N(V210)+1,0)))</f>
        <v/>
      </c>
      <c r="W211" s="46" t="str">
        <f aca="false">IF($B211="","",IF($L211&lt;&gt;"청산",N(W210),IF($P211&lt;0,N(W210)+1,0)))</f>
        <v/>
      </c>
    </row>
    <row r="212" customFormat="false" ht="15" hidden="false" customHeight="false" outlineLevel="0" collapsed="false">
      <c r="A212" s="32" t="str">
        <f aca="false">IF($B212="","",ROW()-5)</f>
        <v/>
      </c>
      <c r="B212" s="48"/>
      <c r="C212" s="49"/>
      <c r="D212" s="50"/>
      <c r="E212" s="51"/>
      <c r="F212" s="52"/>
      <c r="G212" s="53"/>
      <c r="H212" s="50"/>
      <c r="I212" s="51"/>
      <c r="J212" s="53"/>
      <c r="K212" s="53"/>
      <c r="L212" s="39" t="str">
        <f aca="false">IF($B212="","",IF($H212="","보유중","청산"))</f>
        <v/>
      </c>
      <c r="M212" s="40" t="str">
        <f aca="false">IF($B212="","",$E212*$F212)</f>
        <v/>
      </c>
      <c r="N212" s="40" t="str">
        <f aca="false">IF($L212="청산",$I212*$F212,"")</f>
        <v/>
      </c>
      <c r="O212" s="40" t="str">
        <f aca="false">IF($B212="","",$G212+$J212+$K212)</f>
        <v/>
      </c>
      <c r="P212" s="41" t="str">
        <f aca="false">IF($L212="청산",$N212-$M212-$O212,"")</f>
        <v/>
      </c>
      <c r="Q212" s="42" t="str">
        <f aca="false">IF($L212="청산",IF($M212=0,"",$P212/$M212),"")</f>
        <v/>
      </c>
      <c r="R212" s="43" t="str">
        <f aca="true">IF($B212="","",IF($L212="청산",$H212-$D212,IF($D212="","",TODAY()-$D212)))</f>
        <v/>
      </c>
      <c r="S212" s="44" t="str">
        <f aca="false">IF($L212="청산",DATE(YEAR($H212),MONTH($H212),1),"")</f>
        <v/>
      </c>
      <c r="T212" s="48"/>
      <c r="U212" s="49"/>
      <c r="V212" s="46" t="str">
        <f aca="false">IF($B212="","",IF($L212&lt;&gt;"청산",N(V211),IF($P212&gt;0,N(V211)+1,0)))</f>
        <v/>
      </c>
      <c r="W212" s="46" t="str">
        <f aca="false">IF($B212="","",IF($L212&lt;&gt;"청산",N(W211),IF($P212&lt;0,N(W211)+1,0)))</f>
        <v/>
      </c>
    </row>
    <row r="213" customFormat="false" ht="15" hidden="false" customHeight="false" outlineLevel="0" collapsed="false">
      <c r="A213" s="32" t="str">
        <f aca="false">IF($B213="","",ROW()-5)</f>
        <v/>
      </c>
      <c r="B213" s="48"/>
      <c r="C213" s="49"/>
      <c r="D213" s="50"/>
      <c r="E213" s="51"/>
      <c r="F213" s="52"/>
      <c r="G213" s="53"/>
      <c r="H213" s="50"/>
      <c r="I213" s="51"/>
      <c r="J213" s="53"/>
      <c r="K213" s="53"/>
      <c r="L213" s="39" t="str">
        <f aca="false">IF($B213="","",IF($H213="","보유중","청산"))</f>
        <v/>
      </c>
      <c r="M213" s="40" t="str">
        <f aca="false">IF($B213="","",$E213*$F213)</f>
        <v/>
      </c>
      <c r="N213" s="40" t="str">
        <f aca="false">IF($L213="청산",$I213*$F213,"")</f>
        <v/>
      </c>
      <c r="O213" s="40" t="str">
        <f aca="false">IF($B213="","",$G213+$J213+$K213)</f>
        <v/>
      </c>
      <c r="P213" s="41" t="str">
        <f aca="false">IF($L213="청산",$N213-$M213-$O213,"")</f>
        <v/>
      </c>
      <c r="Q213" s="42" t="str">
        <f aca="false">IF($L213="청산",IF($M213=0,"",$P213/$M213),"")</f>
        <v/>
      </c>
      <c r="R213" s="43" t="str">
        <f aca="true">IF($B213="","",IF($L213="청산",$H213-$D213,IF($D213="","",TODAY()-$D213)))</f>
        <v/>
      </c>
      <c r="S213" s="44" t="str">
        <f aca="false">IF($L213="청산",DATE(YEAR($H213),MONTH($H213),1),"")</f>
        <v/>
      </c>
      <c r="T213" s="48"/>
      <c r="U213" s="49"/>
      <c r="V213" s="46" t="str">
        <f aca="false">IF($B213="","",IF($L213&lt;&gt;"청산",N(V212),IF($P213&gt;0,N(V212)+1,0)))</f>
        <v/>
      </c>
      <c r="W213" s="46" t="str">
        <f aca="false">IF($B213="","",IF($L213&lt;&gt;"청산",N(W212),IF($P213&lt;0,N(W212)+1,0)))</f>
        <v/>
      </c>
    </row>
    <row r="214" customFormat="false" ht="15" hidden="false" customHeight="false" outlineLevel="0" collapsed="false">
      <c r="A214" s="32" t="str">
        <f aca="false">IF($B214="","",ROW()-5)</f>
        <v/>
      </c>
      <c r="B214" s="48"/>
      <c r="C214" s="49"/>
      <c r="D214" s="50"/>
      <c r="E214" s="51"/>
      <c r="F214" s="52"/>
      <c r="G214" s="53"/>
      <c r="H214" s="50"/>
      <c r="I214" s="51"/>
      <c r="J214" s="53"/>
      <c r="K214" s="53"/>
      <c r="L214" s="39" t="str">
        <f aca="false">IF($B214="","",IF($H214="","보유중","청산"))</f>
        <v/>
      </c>
      <c r="M214" s="40" t="str">
        <f aca="false">IF($B214="","",$E214*$F214)</f>
        <v/>
      </c>
      <c r="N214" s="40" t="str">
        <f aca="false">IF($L214="청산",$I214*$F214,"")</f>
        <v/>
      </c>
      <c r="O214" s="40" t="str">
        <f aca="false">IF($B214="","",$G214+$J214+$K214)</f>
        <v/>
      </c>
      <c r="P214" s="41" t="str">
        <f aca="false">IF($L214="청산",$N214-$M214-$O214,"")</f>
        <v/>
      </c>
      <c r="Q214" s="42" t="str">
        <f aca="false">IF($L214="청산",IF($M214=0,"",$P214/$M214),"")</f>
        <v/>
      </c>
      <c r="R214" s="43" t="str">
        <f aca="true">IF($B214="","",IF($L214="청산",$H214-$D214,IF($D214="","",TODAY()-$D214)))</f>
        <v/>
      </c>
      <c r="S214" s="44" t="str">
        <f aca="false">IF($L214="청산",DATE(YEAR($H214),MONTH($H214),1),"")</f>
        <v/>
      </c>
      <c r="T214" s="48"/>
      <c r="U214" s="49"/>
      <c r="V214" s="46" t="str">
        <f aca="false">IF($B214="","",IF($L214&lt;&gt;"청산",N(V213),IF($P214&gt;0,N(V213)+1,0)))</f>
        <v/>
      </c>
      <c r="W214" s="46" t="str">
        <f aca="false">IF($B214="","",IF($L214&lt;&gt;"청산",N(W213),IF($P214&lt;0,N(W213)+1,0)))</f>
        <v/>
      </c>
    </row>
    <row r="215" customFormat="false" ht="15" hidden="false" customHeight="false" outlineLevel="0" collapsed="false">
      <c r="A215" s="32" t="str">
        <f aca="false">IF($B215="","",ROW()-5)</f>
        <v/>
      </c>
      <c r="B215" s="48"/>
      <c r="C215" s="49"/>
      <c r="D215" s="50"/>
      <c r="E215" s="51"/>
      <c r="F215" s="52"/>
      <c r="G215" s="53"/>
      <c r="H215" s="50"/>
      <c r="I215" s="51"/>
      <c r="J215" s="53"/>
      <c r="K215" s="53"/>
      <c r="L215" s="39" t="str">
        <f aca="false">IF($B215="","",IF($H215="","보유중","청산"))</f>
        <v/>
      </c>
      <c r="M215" s="40" t="str">
        <f aca="false">IF($B215="","",$E215*$F215)</f>
        <v/>
      </c>
      <c r="N215" s="40" t="str">
        <f aca="false">IF($L215="청산",$I215*$F215,"")</f>
        <v/>
      </c>
      <c r="O215" s="40" t="str">
        <f aca="false">IF($B215="","",$G215+$J215+$K215)</f>
        <v/>
      </c>
      <c r="P215" s="41" t="str">
        <f aca="false">IF($L215="청산",$N215-$M215-$O215,"")</f>
        <v/>
      </c>
      <c r="Q215" s="42" t="str">
        <f aca="false">IF($L215="청산",IF($M215=0,"",$P215/$M215),"")</f>
        <v/>
      </c>
      <c r="R215" s="43" t="str">
        <f aca="true">IF($B215="","",IF($L215="청산",$H215-$D215,IF($D215="","",TODAY()-$D215)))</f>
        <v/>
      </c>
      <c r="S215" s="44" t="str">
        <f aca="false">IF($L215="청산",DATE(YEAR($H215),MONTH($H215),1),"")</f>
        <v/>
      </c>
      <c r="T215" s="48"/>
      <c r="U215" s="49"/>
      <c r="V215" s="46" t="str">
        <f aca="false">IF($B215="","",IF($L215&lt;&gt;"청산",N(V214),IF($P215&gt;0,N(V214)+1,0)))</f>
        <v/>
      </c>
      <c r="W215" s="46" t="str">
        <f aca="false">IF($B215="","",IF($L215&lt;&gt;"청산",N(W214),IF($P215&lt;0,N(W214)+1,0)))</f>
        <v/>
      </c>
    </row>
    <row r="216" customFormat="false" ht="15" hidden="false" customHeight="false" outlineLevel="0" collapsed="false">
      <c r="A216" s="32" t="str">
        <f aca="false">IF($B216="","",ROW()-5)</f>
        <v/>
      </c>
      <c r="B216" s="48"/>
      <c r="C216" s="49"/>
      <c r="D216" s="50"/>
      <c r="E216" s="51"/>
      <c r="F216" s="52"/>
      <c r="G216" s="53"/>
      <c r="H216" s="50"/>
      <c r="I216" s="51"/>
      <c r="J216" s="53"/>
      <c r="K216" s="53"/>
      <c r="L216" s="39" t="str">
        <f aca="false">IF($B216="","",IF($H216="","보유중","청산"))</f>
        <v/>
      </c>
      <c r="M216" s="40" t="str">
        <f aca="false">IF($B216="","",$E216*$F216)</f>
        <v/>
      </c>
      <c r="N216" s="40" t="str">
        <f aca="false">IF($L216="청산",$I216*$F216,"")</f>
        <v/>
      </c>
      <c r="O216" s="40" t="str">
        <f aca="false">IF($B216="","",$G216+$J216+$K216)</f>
        <v/>
      </c>
      <c r="P216" s="41" t="str">
        <f aca="false">IF($L216="청산",$N216-$M216-$O216,"")</f>
        <v/>
      </c>
      <c r="Q216" s="42" t="str">
        <f aca="false">IF($L216="청산",IF($M216=0,"",$P216/$M216),"")</f>
        <v/>
      </c>
      <c r="R216" s="43" t="str">
        <f aca="true">IF($B216="","",IF($L216="청산",$H216-$D216,IF($D216="","",TODAY()-$D216)))</f>
        <v/>
      </c>
      <c r="S216" s="44" t="str">
        <f aca="false">IF($L216="청산",DATE(YEAR($H216),MONTH($H216),1),"")</f>
        <v/>
      </c>
      <c r="T216" s="48"/>
      <c r="U216" s="49"/>
      <c r="V216" s="46" t="str">
        <f aca="false">IF($B216="","",IF($L216&lt;&gt;"청산",N(V215),IF($P216&gt;0,N(V215)+1,0)))</f>
        <v/>
      </c>
      <c r="W216" s="46" t="str">
        <f aca="false">IF($B216="","",IF($L216&lt;&gt;"청산",N(W215),IF($P216&lt;0,N(W215)+1,0)))</f>
        <v/>
      </c>
    </row>
    <row r="217" customFormat="false" ht="15" hidden="false" customHeight="false" outlineLevel="0" collapsed="false">
      <c r="A217" s="32" t="str">
        <f aca="false">IF($B217="","",ROW()-5)</f>
        <v/>
      </c>
      <c r="B217" s="48"/>
      <c r="C217" s="49"/>
      <c r="D217" s="50"/>
      <c r="E217" s="51"/>
      <c r="F217" s="52"/>
      <c r="G217" s="53"/>
      <c r="H217" s="50"/>
      <c r="I217" s="51"/>
      <c r="J217" s="53"/>
      <c r="K217" s="53"/>
      <c r="L217" s="39" t="str">
        <f aca="false">IF($B217="","",IF($H217="","보유중","청산"))</f>
        <v/>
      </c>
      <c r="M217" s="40" t="str">
        <f aca="false">IF($B217="","",$E217*$F217)</f>
        <v/>
      </c>
      <c r="N217" s="40" t="str">
        <f aca="false">IF($L217="청산",$I217*$F217,"")</f>
        <v/>
      </c>
      <c r="O217" s="40" t="str">
        <f aca="false">IF($B217="","",$G217+$J217+$K217)</f>
        <v/>
      </c>
      <c r="P217" s="41" t="str">
        <f aca="false">IF($L217="청산",$N217-$M217-$O217,"")</f>
        <v/>
      </c>
      <c r="Q217" s="42" t="str">
        <f aca="false">IF($L217="청산",IF($M217=0,"",$P217/$M217),"")</f>
        <v/>
      </c>
      <c r="R217" s="43" t="str">
        <f aca="true">IF($B217="","",IF($L217="청산",$H217-$D217,IF($D217="","",TODAY()-$D217)))</f>
        <v/>
      </c>
      <c r="S217" s="44" t="str">
        <f aca="false">IF($L217="청산",DATE(YEAR($H217),MONTH($H217),1),"")</f>
        <v/>
      </c>
      <c r="T217" s="48"/>
      <c r="U217" s="49"/>
      <c r="V217" s="46" t="str">
        <f aca="false">IF($B217="","",IF($L217&lt;&gt;"청산",N(V216),IF($P217&gt;0,N(V216)+1,0)))</f>
        <v/>
      </c>
      <c r="W217" s="46" t="str">
        <f aca="false">IF($B217="","",IF($L217&lt;&gt;"청산",N(W216),IF($P217&lt;0,N(W216)+1,0)))</f>
        <v/>
      </c>
    </row>
    <row r="218" customFormat="false" ht="15" hidden="false" customHeight="false" outlineLevel="0" collapsed="false">
      <c r="A218" s="32" t="str">
        <f aca="false">IF($B218="","",ROW()-5)</f>
        <v/>
      </c>
      <c r="B218" s="48"/>
      <c r="C218" s="49"/>
      <c r="D218" s="50"/>
      <c r="E218" s="51"/>
      <c r="F218" s="52"/>
      <c r="G218" s="53"/>
      <c r="H218" s="50"/>
      <c r="I218" s="51"/>
      <c r="J218" s="53"/>
      <c r="K218" s="53"/>
      <c r="L218" s="39" t="str">
        <f aca="false">IF($B218="","",IF($H218="","보유중","청산"))</f>
        <v/>
      </c>
      <c r="M218" s="40" t="str">
        <f aca="false">IF($B218="","",$E218*$F218)</f>
        <v/>
      </c>
      <c r="N218" s="40" t="str">
        <f aca="false">IF($L218="청산",$I218*$F218,"")</f>
        <v/>
      </c>
      <c r="O218" s="40" t="str">
        <f aca="false">IF($B218="","",$G218+$J218+$K218)</f>
        <v/>
      </c>
      <c r="P218" s="41" t="str">
        <f aca="false">IF($L218="청산",$N218-$M218-$O218,"")</f>
        <v/>
      </c>
      <c r="Q218" s="42" t="str">
        <f aca="false">IF($L218="청산",IF($M218=0,"",$P218/$M218),"")</f>
        <v/>
      </c>
      <c r="R218" s="43" t="str">
        <f aca="true">IF($B218="","",IF($L218="청산",$H218-$D218,IF($D218="","",TODAY()-$D218)))</f>
        <v/>
      </c>
      <c r="S218" s="44" t="str">
        <f aca="false">IF($L218="청산",DATE(YEAR($H218),MONTH($H218),1),"")</f>
        <v/>
      </c>
      <c r="T218" s="48"/>
      <c r="U218" s="49"/>
      <c r="V218" s="46" t="str">
        <f aca="false">IF($B218="","",IF($L218&lt;&gt;"청산",N(V217),IF($P218&gt;0,N(V217)+1,0)))</f>
        <v/>
      </c>
      <c r="W218" s="46" t="str">
        <f aca="false">IF($B218="","",IF($L218&lt;&gt;"청산",N(W217),IF($P218&lt;0,N(W217)+1,0)))</f>
        <v/>
      </c>
    </row>
    <row r="219" customFormat="false" ht="15" hidden="false" customHeight="false" outlineLevel="0" collapsed="false">
      <c r="A219" s="32" t="str">
        <f aca="false">IF($B219="","",ROW()-5)</f>
        <v/>
      </c>
      <c r="B219" s="48"/>
      <c r="C219" s="49"/>
      <c r="D219" s="50"/>
      <c r="E219" s="51"/>
      <c r="F219" s="52"/>
      <c r="G219" s="53"/>
      <c r="H219" s="50"/>
      <c r="I219" s="51"/>
      <c r="J219" s="53"/>
      <c r="K219" s="53"/>
      <c r="L219" s="39" t="str">
        <f aca="false">IF($B219="","",IF($H219="","보유중","청산"))</f>
        <v/>
      </c>
      <c r="M219" s="40" t="str">
        <f aca="false">IF($B219="","",$E219*$F219)</f>
        <v/>
      </c>
      <c r="N219" s="40" t="str">
        <f aca="false">IF($L219="청산",$I219*$F219,"")</f>
        <v/>
      </c>
      <c r="O219" s="40" t="str">
        <f aca="false">IF($B219="","",$G219+$J219+$K219)</f>
        <v/>
      </c>
      <c r="P219" s="41" t="str">
        <f aca="false">IF($L219="청산",$N219-$M219-$O219,"")</f>
        <v/>
      </c>
      <c r="Q219" s="42" t="str">
        <f aca="false">IF($L219="청산",IF($M219=0,"",$P219/$M219),"")</f>
        <v/>
      </c>
      <c r="R219" s="43" t="str">
        <f aca="true">IF($B219="","",IF($L219="청산",$H219-$D219,IF($D219="","",TODAY()-$D219)))</f>
        <v/>
      </c>
      <c r="S219" s="44" t="str">
        <f aca="false">IF($L219="청산",DATE(YEAR($H219),MONTH($H219),1),"")</f>
        <v/>
      </c>
      <c r="T219" s="48"/>
      <c r="U219" s="49"/>
      <c r="V219" s="46" t="str">
        <f aca="false">IF($B219="","",IF($L219&lt;&gt;"청산",N(V218),IF($P219&gt;0,N(V218)+1,0)))</f>
        <v/>
      </c>
      <c r="W219" s="46" t="str">
        <f aca="false">IF($B219="","",IF($L219&lt;&gt;"청산",N(W218),IF($P219&lt;0,N(W218)+1,0)))</f>
        <v/>
      </c>
    </row>
    <row r="220" customFormat="false" ht="15" hidden="false" customHeight="false" outlineLevel="0" collapsed="false">
      <c r="A220" s="32" t="str">
        <f aca="false">IF($B220="","",ROW()-5)</f>
        <v/>
      </c>
      <c r="B220" s="48"/>
      <c r="C220" s="49"/>
      <c r="D220" s="50"/>
      <c r="E220" s="51"/>
      <c r="F220" s="52"/>
      <c r="G220" s="53"/>
      <c r="H220" s="50"/>
      <c r="I220" s="51"/>
      <c r="J220" s="53"/>
      <c r="K220" s="53"/>
      <c r="L220" s="39" t="str">
        <f aca="false">IF($B220="","",IF($H220="","보유중","청산"))</f>
        <v/>
      </c>
      <c r="M220" s="40" t="str">
        <f aca="false">IF($B220="","",$E220*$F220)</f>
        <v/>
      </c>
      <c r="N220" s="40" t="str">
        <f aca="false">IF($L220="청산",$I220*$F220,"")</f>
        <v/>
      </c>
      <c r="O220" s="40" t="str">
        <f aca="false">IF($B220="","",$G220+$J220+$K220)</f>
        <v/>
      </c>
      <c r="P220" s="41" t="str">
        <f aca="false">IF($L220="청산",$N220-$M220-$O220,"")</f>
        <v/>
      </c>
      <c r="Q220" s="42" t="str">
        <f aca="false">IF($L220="청산",IF($M220=0,"",$P220/$M220),"")</f>
        <v/>
      </c>
      <c r="R220" s="43" t="str">
        <f aca="true">IF($B220="","",IF($L220="청산",$H220-$D220,IF($D220="","",TODAY()-$D220)))</f>
        <v/>
      </c>
      <c r="S220" s="44" t="str">
        <f aca="false">IF($L220="청산",DATE(YEAR($H220),MONTH($H220),1),"")</f>
        <v/>
      </c>
      <c r="T220" s="48"/>
      <c r="U220" s="49"/>
      <c r="V220" s="46" t="str">
        <f aca="false">IF($B220="","",IF($L220&lt;&gt;"청산",N(V219),IF($P220&gt;0,N(V219)+1,0)))</f>
        <v/>
      </c>
      <c r="W220" s="46" t="str">
        <f aca="false">IF($B220="","",IF($L220&lt;&gt;"청산",N(W219),IF($P220&lt;0,N(W219)+1,0)))</f>
        <v/>
      </c>
    </row>
    <row r="221" customFormat="false" ht="15" hidden="false" customHeight="false" outlineLevel="0" collapsed="false">
      <c r="A221" s="32" t="str">
        <f aca="false">IF($B221="","",ROW()-5)</f>
        <v/>
      </c>
      <c r="B221" s="48"/>
      <c r="C221" s="49"/>
      <c r="D221" s="50"/>
      <c r="E221" s="51"/>
      <c r="F221" s="52"/>
      <c r="G221" s="53"/>
      <c r="H221" s="50"/>
      <c r="I221" s="51"/>
      <c r="J221" s="53"/>
      <c r="K221" s="53"/>
      <c r="L221" s="39" t="str">
        <f aca="false">IF($B221="","",IF($H221="","보유중","청산"))</f>
        <v/>
      </c>
      <c r="M221" s="40" t="str">
        <f aca="false">IF($B221="","",$E221*$F221)</f>
        <v/>
      </c>
      <c r="N221" s="40" t="str">
        <f aca="false">IF($L221="청산",$I221*$F221,"")</f>
        <v/>
      </c>
      <c r="O221" s="40" t="str">
        <f aca="false">IF($B221="","",$G221+$J221+$K221)</f>
        <v/>
      </c>
      <c r="P221" s="41" t="str">
        <f aca="false">IF($L221="청산",$N221-$M221-$O221,"")</f>
        <v/>
      </c>
      <c r="Q221" s="42" t="str">
        <f aca="false">IF($L221="청산",IF($M221=0,"",$P221/$M221),"")</f>
        <v/>
      </c>
      <c r="R221" s="43" t="str">
        <f aca="true">IF($B221="","",IF($L221="청산",$H221-$D221,IF($D221="","",TODAY()-$D221)))</f>
        <v/>
      </c>
      <c r="S221" s="44" t="str">
        <f aca="false">IF($L221="청산",DATE(YEAR($H221),MONTH($H221),1),"")</f>
        <v/>
      </c>
      <c r="T221" s="48"/>
      <c r="U221" s="49"/>
      <c r="V221" s="46" t="str">
        <f aca="false">IF($B221="","",IF($L221&lt;&gt;"청산",N(V220),IF($P221&gt;0,N(V220)+1,0)))</f>
        <v/>
      </c>
      <c r="W221" s="46" t="str">
        <f aca="false">IF($B221="","",IF($L221&lt;&gt;"청산",N(W220),IF($P221&lt;0,N(W220)+1,0)))</f>
        <v/>
      </c>
    </row>
    <row r="222" customFormat="false" ht="15" hidden="false" customHeight="false" outlineLevel="0" collapsed="false">
      <c r="A222" s="32" t="str">
        <f aca="false">IF($B222="","",ROW()-5)</f>
        <v/>
      </c>
      <c r="B222" s="48"/>
      <c r="C222" s="49"/>
      <c r="D222" s="50"/>
      <c r="E222" s="51"/>
      <c r="F222" s="52"/>
      <c r="G222" s="53"/>
      <c r="H222" s="50"/>
      <c r="I222" s="51"/>
      <c r="J222" s="53"/>
      <c r="K222" s="53"/>
      <c r="L222" s="39" t="str">
        <f aca="false">IF($B222="","",IF($H222="","보유중","청산"))</f>
        <v/>
      </c>
      <c r="M222" s="40" t="str">
        <f aca="false">IF($B222="","",$E222*$F222)</f>
        <v/>
      </c>
      <c r="N222" s="40" t="str">
        <f aca="false">IF($L222="청산",$I222*$F222,"")</f>
        <v/>
      </c>
      <c r="O222" s="40" t="str">
        <f aca="false">IF($B222="","",$G222+$J222+$K222)</f>
        <v/>
      </c>
      <c r="P222" s="41" t="str">
        <f aca="false">IF($L222="청산",$N222-$M222-$O222,"")</f>
        <v/>
      </c>
      <c r="Q222" s="42" t="str">
        <f aca="false">IF($L222="청산",IF($M222=0,"",$P222/$M222),"")</f>
        <v/>
      </c>
      <c r="R222" s="43" t="str">
        <f aca="true">IF($B222="","",IF($L222="청산",$H222-$D222,IF($D222="","",TODAY()-$D222)))</f>
        <v/>
      </c>
      <c r="S222" s="44" t="str">
        <f aca="false">IF($L222="청산",DATE(YEAR($H222),MONTH($H222),1),"")</f>
        <v/>
      </c>
      <c r="T222" s="48"/>
      <c r="U222" s="49"/>
      <c r="V222" s="46" t="str">
        <f aca="false">IF($B222="","",IF($L222&lt;&gt;"청산",N(V221),IF($P222&gt;0,N(V221)+1,0)))</f>
        <v/>
      </c>
      <c r="W222" s="46" t="str">
        <f aca="false">IF($B222="","",IF($L222&lt;&gt;"청산",N(W221),IF($P222&lt;0,N(W221)+1,0)))</f>
        <v/>
      </c>
    </row>
    <row r="223" customFormat="false" ht="15" hidden="false" customHeight="false" outlineLevel="0" collapsed="false">
      <c r="A223" s="32" t="str">
        <f aca="false">IF($B223="","",ROW()-5)</f>
        <v/>
      </c>
      <c r="B223" s="48"/>
      <c r="C223" s="49"/>
      <c r="D223" s="50"/>
      <c r="E223" s="51"/>
      <c r="F223" s="52"/>
      <c r="G223" s="53"/>
      <c r="H223" s="50"/>
      <c r="I223" s="51"/>
      <c r="J223" s="53"/>
      <c r="K223" s="53"/>
      <c r="L223" s="39" t="str">
        <f aca="false">IF($B223="","",IF($H223="","보유중","청산"))</f>
        <v/>
      </c>
      <c r="M223" s="40" t="str">
        <f aca="false">IF($B223="","",$E223*$F223)</f>
        <v/>
      </c>
      <c r="N223" s="40" t="str">
        <f aca="false">IF($L223="청산",$I223*$F223,"")</f>
        <v/>
      </c>
      <c r="O223" s="40" t="str">
        <f aca="false">IF($B223="","",$G223+$J223+$K223)</f>
        <v/>
      </c>
      <c r="P223" s="41" t="str">
        <f aca="false">IF($L223="청산",$N223-$M223-$O223,"")</f>
        <v/>
      </c>
      <c r="Q223" s="42" t="str">
        <f aca="false">IF($L223="청산",IF($M223=0,"",$P223/$M223),"")</f>
        <v/>
      </c>
      <c r="R223" s="43" t="str">
        <f aca="true">IF($B223="","",IF($L223="청산",$H223-$D223,IF($D223="","",TODAY()-$D223)))</f>
        <v/>
      </c>
      <c r="S223" s="44" t="str">
        <f aca="false">IF($L223="청산",DATE(YEAR($H223),MONTH($H223),1),"")</f>
        <v/>
      </c>
      <c r="T223" s="48"/>
      <c r="U223" s="49"/>
      <c r="V223" s="46" t="str">
        <f aca="false">IF($B223="","",IF($L223&lt;&gt;"청산",N(V222),IF($P223&gt;0,N(V222)+1,0)))</f>
        <v/>
      </c>
      <c r="W223" s="46" t="str">
        <f aca="false">IF($B223="","",IF($L223&lt;&gt;"청산",N(W222),IF($P223&lt;0,N(W222)+1,0)))</f>
        <v/>
      </c>
    </row>
    <row r="224" customFormat="false" ht="15" hidden="false" customHeight="false" outlineLevel="0" collapsed="false">
      <c r="A224" s="32" t="str">
        <f aca="false">IF($B224="","",ROW()-5)</f>
        <v/>
      </c>
      <c r="B224" s="48"/>
      <c r="C224" s="49"/>
      <c r="D224" s="50"/>
      <c r="E224" s="51"/>
      <c r="F224" s="52"/>
      <c r="G224" s="53"/>
      <c r="H224" s="50"/>
      <c r="I224" s="51"/>
      <c r="J224" s="53"/>
      <c r="K224" s="53"/>
      <c r="L224" s="39" t="str">
        <f aca="false">IF($B224="","",IF($H224="","보유중","청산"))</f>
        <v/>
      </c>
      <c r="M224" s="40" t="str">
        <f aca="false">IF($B224="","",$E224*$F224)</f>
        <v/>
      </c>
      <c r="N224" s="40" t="str">
        <f aca="false">IF($L224="청산",$I224*$F224,"")</f>
        <v/>
      </c>
      <c r="O224" s="40" t="str">
        <f aca="false">IF($B224="","",$G224+$J224+$K224)</f>
        <v/>
      </c>
      <c r="P224" s="41" t="str">
        <f aca="false">IF($L224="청산",$N224-$M224-$O224,"")</f>
        <v/>
      </c>
      <c r="Q224" s="42" t="str">
        <f aca="false">IF($L224="청산",IF($M224=0,"",$P224/$M224),"")</f>
        <v/>
      </c>
      <c r="R224" s="43" t="str">
        <f aca="true">IF($B224="","",IF($L224="청산",$H224-$D224,IF($D224="","",TODAY()-$D224)))</f>
        <v/>
      </c>
      <c r="S224" s="44" t="str">
        <f aca="false">IF($L224="청산",DATE(YEAR($H224),MONTH($H224),1),"")</f>
        <v/>
      </c>
      <c r="T224" s="48"/>
      <c r="U224" s="49"/>
      <c r="V224" s="46" t="str">
        <f aca="false">IF($B224="","",IF($L224&lt;&gt;"청산",N(V223),IF($P224&gt;0,N(V223)+1,0)))</f>
        <v/>
      </c>
      <c r="W224" s="46" t="str">
        <f aca="false">IF($B224="","",IF($L224&lt;&gt;"청산",N(W223),IF($P224&lt;0,N(W223)+1,0)))</f>
        <v/>
      </c>
    </row>
    <row r="225" customFormat="false" ht="15" hidden="false" customHeight="false" outlineLevel="0" collapsed="false">
      <c r="A225" s="32" t="str">
        <f aca="false">IF($B225="","",ROW()-5)</f>
        <v/>
      </c>
      <c r="B225" s="48"/>
      <c r="C225" s="49"/>
      <c r="D225" s="50"/>
      <c r="E225" s="51"/>
      <c r="F225" s="52"/>
      <c r="G225" s="53"/>
      <c r="H225" s="50"/>
      <c r="I225" s="51"/>
      <c r="J225" s="53"/>
      <c r="K225" s="53"/>
      <c r="L225" s="39" t="str">
        <f aca="false">IF($B225="","",IF($H225="","보유중","청산"))</f>
        <v/>
      </c>
      <c r="M225" s="40" t="str">
        <f aca="false">IF($B225="","",$E225*$F225)</f>
        <v/>
      </c>
      <c r="N225" s="40" t="str">
        <f aca="false">IF($L225="청산",$I225*$F225,"")</f>
        <v/>
      </c>
      <c r="O225" s="40" t="str">
        <f aca="false">IF($B225="","",$G225+$J225+$K225)</f>
        <v/>
      </c>
      <c r="P225" s="41" t="str">
        <f aca="false">IF($L225="청산",$N225-$M225-$O225,"")</f>
        <v/>
      </c>
      <c r="Q225" s="42" t="str">
        <f aca="false">IF($L225="청산",IF($M225=0,"",$P225/$M225),"")</f>
        <v/>
      </c>
      <c r="R225" s="43" t="str">
        <f aca="true">IF($B225="","",IF($L225="청산",$H225-$D225,IF($D225="","",TODAY()-$D225)))</f>
        <v/>
      </c>
      <c r="S225" s="44" t="str">
        <f aca="false">IF($L225="청산",DATE(YEAR($H225),MONTH($H225),1),"")</f>
        <v/>
      </c>
      <c r="T225" s="48"/>
      <c r="U225" s="49"/>
      <c r="V225" s="46" t="str">
        <f aca="false">IF($B225="","",IF($L225&lt;&gt;"청산",N(V224),IF($P225&gt;0,N(V224)+1,0)))</f>
        <v/>
      </c>
      <c r="W225" s="46" t="str">
        <f aca="false">IF($B225="","",IF($L225&lt;&gt;"청산",N(W224),IF($P225&lt;0,N(W224)+1,0)))</f>
        <v/>
      </c>
    </row>
    <row r="226" customFormat="false" ht="15" hidden="false" customHeight="false" outlineLevel="0" collapsed="false">
      <c r="A226" s="32" t="str">
        <f aca="false">IF($B226="","",ROW()-5)</f>
        <v/>
      </c>
      <c r="B226" s="48"/>
      <c r="C226" s="49"/>
      <c r="D226" s="50"/>
      <c r="E226" s="51"/>
      <c r="F226" s="52"/>
      <c r="G226" s="53"/>
      <c r="H226" s="50"/>
      <c r="I226" s="51"/>
      <c r="J226" s="53"/>
      <c r="K226" s="53"/>
      <c r="L226" s="39" t="str">
        <f aca="false">IF($B226="","",IF($H226="","보유중","청산"))</f>
        <v/>
      </c>
      <c r="M226" s="40" t="str">
        <f aca="false">IF($B226="","",$E226*$F226)</f>
        <v/>
      </c>
      <c r="N226" s="40" t="str">
        <f aca="false">IF($L226="청산",$I226*$F226,"")</f>
        <v/>
      </c>
      <c r="O226" s="40" t="str">
        <f aca="false">IF($B226="","",$G226+$J226+$K226)</f>
        <v/>
      </c>
      <c r="P226" s="41" t="str">
        <f aca="false">IF($L226="청산",$N226-$M226-$O226,"")</f>
        <v/>
      </c>
      <c r="Q226" s="42" t="str">
        <f aca="false">IF($L226="청산",IF($M226=0,"",$P226/$M226),"")</f>
        <v/>
      </c>
      <c r="R226" s="43" t="str">
        <f aca="true">IF($B226="","",IF($L226="청산",$H226-$D226,IF($D226="","",TODAY()-$D226)))</f>
        <v/>
      </c>
      <c r="S226" s="44" t="str">
        <f aca="false">IF($L226="청산",DATE(YEAR($H226),MONTH($H226),1),"")</f>
        <v/>
      </c>
      <c r="T226" s="48"/>
      <c r="U226" s="49"/>
      <c r="V226" s="46" t="str">
        <f aca="false">IF($B226="","",IF($L226&lt;&gt;"청산",N(V225),IF($P226&gt;0,N(V225)+1,0)))</f>
        <v/>
      </c>
      <c r="W226" s="46" t="str">
        <f aca="false">IF($B226="","",IF($L226&lt;&gt;"청산",N(W225),IF($P226&lt;0,N(W225)+1,0)))</f>
        <v/>
      </c>
    </row>
    <row r="227" customFormat="false" ht="15" hidden="false" customHeight="false" outlineLevel="0" collapsed="false">
      <c r="A227" s="32" t="str">
        <f aca="false">IF($B227="","",ROW()-5)</f>
        <v/>
      </c>
      <c r="B227" s="48"/>
      <c r="C227" s="49"/>
      <c r="D227" s="50"/>
      <c r="E227" s="51"/>
      <c r="F227" s="52"/>
      <c r="G227" s="53"/>
      <c r="H227" s="50"/>
      <c r="I227" s="51"/>
      <c r="J227" s="53"/>
      <c r="K227" s="53"/>
      <c r="L227" s="39" t="str">
        <f aca="false">IF($B227="","",IF($H227="","보유중","청산"))</f>
        <v/>
      </c>
      <c r="M227" s="40" t="str">
        <f aca="false">IF($B227="","",$E227*$F227)</f>
        <v/>
      </c>
      <c r="N227" s="40" t="str">
        <f aca="false">IF($L227="청산",$I227*$F227,"")</f>
        <v/>
      </c>
      <c r="O227" s="40" t="str">
        <f aca="false">IF($B227="","",$G227+$J227+$K227)</f>
        <v/>
      </c>
      <c r="P227" s="41" t="str">
        <f aca="false">IF($L227="청산",$N227-$M227-$O227,"")</f>
        <v/>
      </c>
      <c r="Q227" s="42" t="str">
        <f aca="false">IF($L227="청산",IF($M227=0,"",$P227/$M227),"")</f>
        <v/>
      </c>
      <c r="R227" s="43" t="str">
        <f aca="true">IF($B227="","",IF($L227="청산",$H227-$D227,IF($D227="","",TODAY()-$D227)))</f>
        <v/>
      </c>
      <c r="S227" s="44" t="str">
        <f aca="false">IF($L227="청산",DATE(YEAR($H227),MONTH($H227),1),"")</f>
        <v/>
      </c>
      <c r="T227" s="48"/>
      <c r="U227" s="49"/>
      <c r="V227" s="46" t="str">
        <f aca="false">IF($B227="","",IF($L227&lt;&gt;"청산",N(V226),IF($P227&gt;0,N(V226)+1,0)))</f>
        <v/>
      </c>
      <c r="W227" s="46" t="str">
        <f aca="false">IF($B227="","",IF($L227&lt;&gt;"청산",N(W226),IF($P227&lt;0,N(W226)+1,0)))</f>
        <v/>
      </c>
    </row>
    <row r="228" customFormat="false" ht="15" hidden="false" customHeight="false" outlineLevel="0" collapsed="false">
      <c r="A228" s="32" t="str">
        <f aca="false">IF($B228="","",ROW()-5)</f>
        <v/>
      </c>
      <c r="B228" s="48"/>
      <c r="C228" s="49"/>
      <c r="D228" s="50"/>
      <c r="E228" s="51"/>
      <c r="F228" s="52"/>
      <c r="G228" s="53"/>
      <c r="H228" s="50"/>
      <c r="I228" s="51"/>
      <c r="J228" s="53"/>
      <c r="K228" s="53"/>
      <c r="L228" s="39" t="str">
        <f aca="false">IF($B228="","",IF($H228="","보유중","청산"))</f>
        <v/>
      </c>
      <c r="M228" s="40" t="str">
        <f aca="false">IF($B228="","",$E228*$F228)</f>
        <v/>
      </c>
      <c r="N228" s="40" t="str">
        <f aca="false">IF($L228="청산",$I228*$F228,"")</f>
        <v/>
      </c>
      <c r="O228" s="40" t="str">
        <f aca="false">IF($B228="","",$G228+$J228+$K228)</f>
        <v/>
      </c>
      <c r="P228" s="41" t="str">
        <f aca="false">IF($L228="청산",$N228-$M228-$O228,"")</f>
        <v/>
      </c>
      <c r="Q228" s="42" t="str">
        <f aca="false">IF($L228="청산",IF($M228=0,"",$P228/$M228),"")</f>
        <v/>
      </c>
      <c r="R228" s="43" t="str">
        <f aca="true">IF($B228="","",IF($L228="청산",$H228-$D228,IF($D228="","",TODAY()-$D228)))</f>
        <v/>
      </c>
      <c r="S228" s="44" t="str">
        <f aca="false">IF($L228="청산",DATE(YEAR($H228),MONTH($H228),1),"")</f>
        <v/>
      </c>
      <c r="T228" s="48"/>
      <c r="U228" s="49"/>
      <c r="V228" s="46" t="str">
        <f aca="false">IF($B228="","",IF($L228&lt;&gt;"청산",N(V227),IF($P228&gt;0,N(V227)+1,0)))</f>
        <v/>
      </c>
      <c r="W228" s="46" t="str">
        <f aca="false">IF($B228="","",IF($L228&lt;&gt;"청산",N(W227),IF($P228&lt;0,N(W227)+1,0)))</f>
        <v/>
      </c>
    </row>
    <row r="229" customFormat="false" ht="15" hidden="false" customHeight="false" outlineLevel="0" collapsed="false">
      <c r="A229" s="32" t="str">
        <f aca="false">IF($B229="","",ROW()-5)</f>
        <v/>
      </c>
      <c r="B229" s="48"/>
      <c r="C229" s="49"/>
      <c r="D229" s="50"/>
      <c r="E229" s="51"/>
      <c r="F229" s="52"/>
      <c r="G229" s="53"/>
      <c r="H229" s="50"/>
      <c r="I229" s="51"/>
      <c r="J229" s="53"/>
      <c r="K229" s="53"/>
      <c r="L229" s="39" t="str">
        <f aca="false">IF($B229="","",IF($H229="","보유중","청산"))</f>
        <v/>
      </c>
      <c r="M229" s="40" t="str">
        <f aca="false">IF($B229="","",$E229*$F229)</f>
        <v/>
      </c>
      <c r="N229" s="40" t="str">
        <f aca="false">IF($L229="청산",$I229*$F229,"")</f>
        <v/>
      </c>
      <c r="O229" s="40" t="str">
        <f aca="false">IF($B229="","",$G229+$J229+$K229)</f>
        <v/>
      </c>
      <c r="P229" s="41" t="str">
        <f aca="false">IF($L229="청산",$N229-$M229-$O229,"")</f>
        <v/>
      </c>
      <c r="Q229" s="42" t="str">
        <f aca="false">IF($L229="청산",IF($M229=0,"",$P229/$M229),"")</f>
        <v/>
      </c>
      <c r="R229" s="43" t="str">
        <f aca="true">IF($B229="","",IF($L229="청산",$H229-$D229,IF($D229="","",TODAY()-$D229)))</f>
        <v/>
      </c>
      <c r="S229" s="44" t="str">
        <f aca="false">IF($L229="청산",DATE(YEAR($H229),MONTH($H229),1),"")</f>
        <v/>
      </c>
      <c r="T229" s="48"/>
      <c r="U229" s="49"/>
      <c r="V229" s="46" t="str">
        <f aca="false">IF($B229="","",IF($L229&lt;&gt;"청산",N(V228),IF($P229&gt;0,N(V228)+1,0)))</f>
        <v/>
      </c>
      <c r="W229" s="46" t="str">
        <f aca="false">IF($B229="","",IF($L229&lt;&gt;"청산",N(W228),IF($P229&lt;0,N(W228)+1,0)))</f>
        <v/>
      </c>
    </row>
    <row r="230" customFormat="false" ht="15" hidden="false" customHeight="false" outlineLevel="0" collapsed="false">
      <c r="A230" s="32" t="str">
        <f aca="false">IF($B230="","",ROW()-5)</f>
        <v/>
      </c>
      <c r="B230" s="48"/>
      <c r="C230" s="49"/>
      <c r="D230" s="50"/>
      <c r="E230" s="51"/>
      <c r="F230" s="52"/>
      <c r="G230" s="53"/>
      <c r="H230" s="50"/>
      <c r="I230" s="51"/>
      <c r="J230" s="53"/>
      <c r="K230" s="53"/>
      <c r="L230" s="39" t="str">
        <f aca="false">IF($B230="","",IF($H230="","보유중","청산"))</f>
        <v/>
      </c>
      <c r="M230" s="40" t="str">
        <f aca="false">IF($B230="","",$E230*$F230)</f>
        <v/>
      </c>
      <c r="N230" s="40" t="str">
        <f aca="false">IF($L230="청산",$I230*$F230,"")</f>
        <v/>
      </c>
      <c r="O230" s="40" t="str">
        <f aca="false">IF($B230="","",$G230+$J230+$K230)</f>
        <v/>
      </c>
      <c r="P230" s="41" t="str">
        <f aca="false">IF($L230="청산",$N230-$M230-$O230,"")</f>
        <v/>
      </c>
      <c r="Q230" s="42" t="str">
        <f aca="false">IF($L230="청산",IF($M230=0,"",$P230/$M230),"")</f>
        <v/>
      </c>
      <c r="R230" s="43" t="str">
        <f aca="true">IF($B230="","",IF($L230="청산",$H230-$D230,IF($D230="","",TODAY()-$D230)))</f>
        <v/>
      </c>
      <c r="S230" s="44" t="str">
        <f aca="false">IF($L230="청산",DATE(YEAR($H230),MONTH($H230),1),"")</f>
        <v/>
      </c>
      <c r="T230" s="48"/>
      <c r="U230" s="49"/>
      <c r="V230" s="46" t="str">
        <f aca="false">IF($B230="","",IF($L230&lt;&gt;"청산",N(V229),IF($P230&gt;0,N(V229)+1,0)))</f>
        <v/>
      </c>
      <c r="W230" s="46" t="str">
        <f aca="false">IF($B230="","",IF($L230&lt;&gt;"청산",N(W229),IF($P230&lt;0,N(W229)+1,0)))</f>
        <v/>
      </c>
    </row>
    <row r="231" customFormat="false" ht="15" hidden="false" customHeight="false" outlineLevel="0" collapsed="false">
      <c r="A231" s="32" t="str">
        <f aca="false">IF($B231="","",ROW()-5)</f>
        <v/>
      </c>
      <c r="B231" s="48"/>
      <c r="C231" s="49"/>
      <c r="D231" s="50"/>
      <c r="E231" s="51"/>
      <c r="F231" s="52"/>
      <c r="G231" s="53"/>
      <c r="H231" s="50"/>
      <c r="I231" s="51"/>
      <c r="J231" s="53"/>
      <c r="K231" s="53"/>
      <c r="L231" s="39" t="str">
        <f aca="false">IF($B231="","",IF($H231="","보유중","청산"))</f>
        <v/>
      </c>
      <c r="M231" s="40" t="str">
        <f aca="false">IF($B231="","",$E231*$F231)</f>
        <v/>
      </c>
      <c r="N231" s="40" t="str">
        <f aca="false">IF($L231="청산",$I231*$F231,"")</f>
        <v/>
      </c>
      <c r="O231" s="40" t="str">
        <f aca="false">IF($B231="","",$G231+$J231+$K231)</f>
        <v/>
      </c>
      <c r="P231" s="41" t="str">
        <f aca="false">IF($L231="청산",$N231-$M231-$O231,"")</f>
        <v/>
      </c>
      <c r="Q231" s="42" t="str">
        <f aca="false">IF($L231="청산",IF($M231=0,"",$P231/$M231),"")</f>
        <v/>
      </c>
      <c r="R231" s="43" t="str">
        <f aca="true">IF($B231="","",IF($L231="청산",$H231-$D231,IF($D231="","",TODAY()-$D231)))</f>
        <v/>
      </c>
      <c r="S231" s="44" t="str">
        <f aca="false">IF($L231="청산",DATE(YEAR($H231),MONTH($H231),1),"")</f>
        <v/>
      </c>
      <c r="T231" s="48"/>
      <c r="U231" s="49"/>
      <c r="V231" s="46" t="str">
        <f aca="false">IF($B231="","",IF($L231&lt;&gt;"청산",N(V230),IF($P231&gt;0,N(V230)+1,0)))</f>
        <v/>
      </c>
      <c r="W231" s="46" t="str">
        <f aca="false">IF($B231="","",IF($L231&lt;&gt;"청산",N(W230),IF($P231&lt;0,N(W230)+1,0)))</f>
        <v/>
      </c>
    </row>
    <row r="232" customFormat="false" ht="15" hidden="false" customHeight="false" outlineLevel="0" collapsed="false">
      <c r="A232" s="32" t="str">
        <f aca="false">IF($B232="","",ROW()-5)</f>
        <v/>
      </c>
      <c r="B232" s="48"/>
      <c r="C232" s="49"/>
      <c r="D232" s="50"/>
      <c r="E232" s="51"/>
      <c r="F232" s="52"/>
      <c r="G232" s="53"/>
      <c r="H232" s="50"/>
      <c r="I232" s="51"/>
      <c r="J232" s="53"/>
      <c r="K232" s="53"/>
      <c r="L232" s="39" t="str">
        <f aca="false">IF($B232="","",IF($H232="","보유중","청산"))</f>
        <v/>
      </c>
      <c r="M232" s="40" t="str">
        <f aca="false">IF($B232="","",$E232*$F232)</f>
        <v/>
      </c>
      <c r="N232" s="40" t="str">
        <f aca="false">IF($L232="청산",$I232*$F232,"")</f>
        <v/>
      </c>
      <c r="O232" s="40" t="str">
        <f aca="false">IF($B232="","",$G232+$J232+$K232)</f>
        <v/>
      </c>
      <c r="P232" s="41" t="str">
        <f aca="false">IF($L232="청산",$N232-$M232-$O232,"")</f>
        <v/>
      </c>
      <c r="Q232" s="42" t="str">
        <f aca="false">IF($L232="청산",IF($M232=0,"",$P232/$M232),"")</f>
        <v/>
      </c>
      <c r="R232" s="43" t="str">
        <f aca="true">IF($B232="","",IF($L232="청산",$H232-$D232,IF($D232="","",TODAY()-$D232)))</f>
        <v/>
      </c>
      <c r="S232" s="44" t="str">
        <f aca="false">IF($L232="청산",DATE(YEAR($H232),MONTH($H232),1),"")</f>
        <v/>
      </c>
      <c r="T232" s="48"/>
      <c r="U232" s="49"/>
      <c r="V232" s="46" t="str">
        <f aca="false">IF($B232="","",IF($L232&lt;&gt;"청산",N(V231),IF($P232&gt;0,N(V231)+1,0)))</f>
        <v/>
      </c>
      <c r="W232" s="46" t="str">
        <f aca="false">IF($B232="","",IF($L232&lt;&gt;"청산",N(W231),IF($P232&lt;0,N(W231)+1,0)))</f>
        <v/>
      </c>
    </row>
    <row r="233" customFormat="false" ht="15" hidden="false" customHeight="false" outlineLevel="0" collapsed="false">
      <c r="A233" s="32" t="str">
        <f aca="false">IF($B233="","",ROW()-5)</f>
        <v/>
      </c>
      <c r="B233" s="48"/>
      <c r="C233" s="49"/>
      <c r="D233" s="50"/>
      <c r="E233" s="51"/>
      <c r="F233" s="52"/>
      <c r="G233" s="53"/>
      <c r="H233" s="50"/>
      <c r="I233" s="51"/>
      <c r="J233" s="53"/>
      <c r="K233" s="53"/>
      <c r="L233" s="39" t="str">
        <f aca="false">IF($B233="","",IF($H233="","보유중","청산"))</f>
        <v/>
      </c>
      <c r="M233" s="40" t="str">
        <f aca="false">IF($B233="","",$E233*$F233)</f>
        <v/>
      </c>
      <c r="N233" s="40" t="str">
        <f aca="false">IF($L233="청산",$I233*$F233,"")</f>
        <v/>
      </c>
      <c r="O233" s="40" t="str">
        <f aca="false">IF($B233="","",$G233+$J233+$K233)</f>
        <v/>
      </c>
      <c r="P233" s="41" t="str">
        <f aca="false">IF($L233="청산",$N233-$M233-$O233,"")</f>
        <v/>
      </c>
      <c r="Q233" s="42" t="str">
        <f aca="false">IF($L233="청산",IF($M233=0,"",$P233/$M233),"")</f>
        <v/>
      </c>
      <c r="R233" s="43" t="str">
        <f aca="true">IF($B233="","",IF($L233="청산",$H233-$D233,IF($D233="","",TODAY()-$D233)))</f>
        <v/>
      </c>
      <c r="S233" s="44" t="str">
        <f aca="false">IF($L233="청산",DATE(YEAR($H233),MONTH($H233),1),"")</f>
        <v/>
      </c>
      <c r="T233" s="48"/>
      <c r="U233" s="49"/>
      <c r="V233" s="46" t="str">
        <f aca="false">IF($B233="","",IF($L233&lt;&gt;"청산",N(V232),IF($P233&gt;0,N(V232)+1,0)))</f>
        <v/>
      </c>
      <c r="W233" s="46" t="str">
        <f aca="false">IF($B233="","",IF($L233&lt;&gt;"청산",N(W232),IF($P233&lt;0,N(W232)+1,0)))</f>
        <v/>
      </c>
    </row>
    <row r="234" customFormat="false" ht="15" hidden="false" customHeight="false" outlineLevel="0" collapsed="false">
      <c r="A234" s="32" t="str">
        <f aca="false">IF($B234="","",ROW()-5)</f>
        <v/>
      </c>
      <c r="B234" s="48"/>
      <c r="C234" s="49"/>
      <c r="D234" s="50"/>
      <c r="E234" s="51"/>
      <c r="F234" s="52"/>
      <c r="G234" s="53"/>
      <c r="H234" s="50"/>
      <c r="I234" s="51"/>
      <c r="J234" s="53"/>
      <c r="K234" s="53"/>
      <c r="L234" s="39" t="str">
        <f aca="false">IF($B234="","",IF($H234="","보유중","청산"))</f>
        <v/>
      </c>
      <c r="M234" s="40" t="str">
        <f aca="false">IF($B234="","",$E234*$F234)</f>
        <v/>
      </c>
      <c r="N234" s="40" t="str">
        <f aca="false">IF($L234="청산",$I234*$F234,"")</f>
        <v/>
      </c>
      <c r="O234" s="40" t="str">
        <f aca="false">IF($B234="","",$G234+$J234+$K234)</f>
        <v/>
      </c>
      <c r="P234" s="41" t="str">
        <f aca="false">IF($L234="청산",$N234-$M234-$O234,"")</f>
        <v/>
      </c>
      <c r="Q234" s="42" t="str">
        <f aca="false">IF($L234="청산",IF($M234=0,"",$P234/$M234),"")</f>
        <v/>
      </c>
      <c r="R234" s="43" t="str">
        <f aca="true">IF($B234="","",IF($L234="청산",$H234-$D234,IF($D234="","",TODAY()-$D234)))</f>
        <v/>
      </c>
      <c r="S234" s="44" t="str">
        <f aca="false">IF($L234="청산",DATE(YEAR($H234),MONTH($H234),1),"")</f>
        <v/>
      </c>
      <c r="T234" s="48"/>
      <c r="U234" s="49"/>
      <c r="V234" s="46" t="str">
        <f aca="false">IF($B234="","",IF($L234&lt;&gt;"청산",N(V233),IF($P234&gt;0,N(V233)+1,0)))</f>
        <v/>
      </c>
      <c r="W234" s="46" t="str">
        <f aca="false">IF($B234="","",IF($L234&lt;&gt;"청산",N(W233),IF($P234&lt;0,N(W233)+1,0)))</f>
        <v/>
      </c>
    </row>
    <row r="235" customFormat="false" ht="15" hidden="false" customHeight="false" outlineLevel="0" collapsed="false">
      <c r="A235" s="32" t="str">
        <f aca="false">IF($B235="","",ROW()-5)</f>
        <v/>
      </c>
      <c r="B235" s="48"/>
      <c r="C235" s="49"/>
      <c r="D235" s="50"/>
      <c r="E235" s="51"/>
      <c r="F235" s="52"/>
      <c r="G235" s="53"/>
      <c r="H235" s="50"/>
      <c r="I235" s="51"/>
      <c r="J235" s="53"/>
      <c r="K235" s="53"/>
      <c r="L235" s="39" t="str">
        <f aca="false">IF($B235="","",IF($H235="","보유중","청산"))</f>
        <v/>
      </c>
      <c r="M235" s="40" t="str">
        <f aca="false">IF($B235="","",$E235*$F235)</f>
        <v/>
      </c>
      <c r="N235" s="40" t="str">
        <f aca="false">IF($L235="청산",$I235*$F235,"")</f>
        <v/>
      </c>
      <c r="O235" s="40" t="str">
        <f aca="false">IF($B235="","",$G235+$J235+$K235)</f>
        <v/>
      </c>
      <c r="P235" s="41" t="str">
        <f aca="false">IF($L235="청산",$N235-$M235-$O235,"")</f>
        <v/>
      </c>
      <c r="Q235" s="42" t="str">
        <f aca="false">IF($L235="청산",IF($M235=0,"",$P235/$M235),"")</f>
        <v/>
      </c>
      <c r="R235" s="43" t="str">
        <f aca="true">IF($B235="","",IF($L235="청산",$H235-$D235,IF($D235="","",TODAY()-$D235)))</f>
        <v/>
      </c>
      <c r="S235" s="44" t="str">
        <f aca="false">IF($L235="청산",DATE(YEAR($H235),MONTH($H235),1),"")</f>
        <v/>
      </c>
      <c r="T235" s="48"/>
      <c r="U235" s="49"/>
      <c r="V235" s="46" t="str">
        <f aca="false">IF($B235="","",IF($L235&lt;&gt;"청산",N(V234),IF($P235&gt;0,N(V234)+1,0)))</f>
        <v/>
      </c>
      <c r="W235" s="46" t="str">
        <f aca="false">IF($B235="","",IF($L235&lt;&gt;"청산",N(W234),IF($P235&lt;0,N(W234)+1,0)))</f>
        <v/>
      </c>
    </row>
    <row r="236" customFormat="false" ht="15" hidden="false" customHeight="false" outlineLevel="0" collapsed="false">
      <c r="A236" s="32" t="str">
        <f aca="false">IF($B236="","",ROW()-5)</f>
        <v/>
      </c>
      <c r="B236" s="48"/>
      <c r="C236" s="49"/>
      <c r="D236" s="50"/>
      <c r="E236" s="51"/>
      <c r="F236" s="52"/>
      <c r="G236" s="53"/>
      <c r="H236" s="50"/>
      <c r="I236" s="51"/>
      <c r="J236" s="53"/>
      <c r="K236" s="53"/>
      <c r="L236" s="39" t="str">
        <f aca="false">IF($B236="","",IF($H236="","보유중","청산"))</f>
        <v/>
      </c>
      <c r="M236" s="40" t="str">
        <f aca="false">IF($B236="","",$E236*$F236)</f>
        <v/>
      </c>
      <c r="N236" s="40" t="str">
        <f aca="false">IF($L236="청산",$I236*$F236,"")</f>
        <v/>
      </c>
      <c r="O236" s="40" t="str">
        <f aca="false">IF($B236="","",$G236+$J236+$K236)</f>
        <v/>
      </c>
      <c r="P236" s="41" t="str">
        <f aca="false">IF($L236="청산",$N236-$M236-$O236,"")</f>
        <v/>
      </c>
      <c r="Q236" s="42" t="str">
        <f aca="false">IF($L236="청산",IF($M236=0,"",$P236/$M236),"")</f>
        <v/>
      </c>
      <c r="R236" s="43" t="str">
        <f aca="true">IF($B236="","",IF($L236="청산",$H236-$D236,IF($D236="","",TODAY()-$D236)))</f>
        <v/>
      </c>
      <c r="S236" s="44" t="str">
        <f aca="false">IF($L236="청산",DATE(YEAR($H236),MONTH($H236),1),"")</f>
        <v/>
      </c>
      <c r="T236" s="48"/>
      <c r="U236" s="49"/>
      <c r="V236" s="46" t="str">
        <f aca="false">IF($B236="","",IF($L236&lt;&gt;"청산",N(V235),IF($P236&gt;0,N(V235)+1,0)))</f>
        <v/>
      </c>
      <c r="W236" s="46" t="str">
        <f aca="false">IF($B236="","",IF($L236&lt;&gt;"청산",N(W235),IF($P236&lt;0,N(W235)+1,0)))</f>
        <v/>
      </c>
    </row>
    <row r="237" customFormat="false" ht="15" hidden="false" customHeight="false" outlineLevel="0" collapsed="false">
      <c r="A237" s="32" t="str">
        <f aca="false">IF($B237="","",ROW()-5)</f>
        <v/>
      </c>
      <c r="B237" s="48"/>
      <c r="C237" s="49"/>
      <c r="D237" s="50"/>
      <c r="E237" s="51"/>
      <c r="F237" s="52"/>
      <c r="G237" s="53"/>
      <c r="H237" s="50"/>
      <c r="I237" s="51"/>
      <c r="J237" s="53"/>
      <c r="K237" s="53"/>
      <c r="L237" s="39" t="str">
        <f aca="false">IF($B237="","",IF($H237="","보유중","청산"))</f>
        <v/>
      </c>
      <c r="M237" s="40" t="str">
        <f aca="false">IF($B237="","",$E237*$F237)</f>
        <v/>
      </c>
      <c r="N237" s="40" t="str">
        <f aca="false">IF($L237="청산",$I237*$F237,"")</f>
        <v/>
      </c>
      <c r="O237" s="40" t="str">
        <f aca="false">IF($B237="","",$G237+$J237+$K237)</f>
        <v/>
      </c>
      <c r="P237" s="41" t="str">
        <f aca="false">IF($L237="청산",$N237-$M237-$O237,"")</f>
        <v/>
      </c>
      <c r="Q237" s="42" t="str">
        <f aca="false">IF($L237="청산",IF($M237=0,"",$P237/$M237),"")</f>
        <v/>
      </c>
      <c r="R237" s="43" t="str">
        <f aca="true">IF($B237="","",IF($L237="청산",$H237-$D237,IF($D237="","",TODAY()-$D237)))</f>
        <v/>
      </c>
      <c r="S237" s="44" t="str">
        <f aca="false">IF($L237="청산",DATE(YEAR($H237),MONTH($H237),1),"")</f>
        <v/>
      </c>
      <c r="T237" s="48"/>
      <c r="U237" s="49"/>
      <c r="V237" s="46" t="str">
        <f aca="false">IF($B237="","",IF($L237&lt;&gt;"청산",N(V236),IF($P237&gt;0,N(V236)+1,0)))</f>
        <v/>
      </c>
      <c r="W237" s="46" t="str">
        <f aca="false">IF($B237="","",IF($L237&lt;&gt;"청산",N(W236),IF($P237&lt;0,N(W236)+1,0)))</f>
        <v/>
      </c>
    </row>
    <row r="238" customFormat="false" ht="15" hidden="false" customHeight="false" outlineLevel="0" collapsed="false">
      <c r="A238" s="32" t="str">
        <f aca="false">IF($B238="","",ROW()-5)</f>
        <v/>
      </c>
      <c r="B238" s="48"/>
      <c r="C238" s="49"/>
      <c r="D238" s="50"/>
      <c r="E238" s="51"/>
      <c r="F238" s="52"/>
      <c r="G238" s="53"/>
      <c r="H238" s="50"/>
      <c r="I238" s="51"/>
      <c r="J238" s="53"/>
      <c r="K238" s="53"/>
      <c r="L238" s="39" t="str">
        <f aca="false">IF($B238="","",IF($H238="","보유중","청산"))</f>
        <v/>
      </c>
      <c r="M238" s="40" t="str">
        <f aca="false">IF($B238="","",$E238*$F238)</f>
        <v/>
      </c>
      <c r="N238" s="40" t="str">
        <f aca="false">IF($L238="청산",$I238*$F238,"")</f>
        <v/>
      </c>
      <c r="O238" s="40" t="str">
        <f aca="false">IF($B238="","",$G238+$J238+$K238)</f>
        <v/>
      </c>
      <c r="P238" s="41" t="str">
        <f aca="false">IF($L238="청산",$N238-$M238-$O238,"")</f>
        <v/>
      </c>
      <c r="Q238" s="42" t="str">
        <f aca="false">IF($L238="청산",IF($M238=0,"",$P238/$M238),"")</f>
        <v/>
      </c>
      <c r="R238" s="43" t="str">
        <f aca="true">IF($B238="","",IF($L238="청산",$H238-$D238,IF($D238="","",TODAY()-$D238)))</f>
        <v/>
      </c>
      <c r="S238" s="44" t="str">
        <f aca="false">IF($L238="청산",DATE(YEAR($H238),MONTH($H238),1),"")</f>
        <v/>
      </c>
      <c r="T238" s="48"/>
      <c r="U238" s="49"/>
      <c r="V238" s="46" t="str">
        <f aca="false">IF($B238="","",IF($L238&lt;&gt;"청산",N(V237),IF($P238&gt;0,N(V237)+1,0)))</f>
        <v/>
      </c>
      <c r="W238" s="46" t="str">
        <f aca="false">IF($B238="","",IF($L238&lt;&gt;"청산",N(W237),IF($P238&lt;0,N(W237)+1,0)))</f>
        <v/>
      </c>
    </row>
    <row r="239" customFormat="false" ht="15" hidden="false" customHeight="false" outlineLevel="0" collapsed="false">
      <c r="A239" s="32" t="str">
        <f aca="false">IF($B239="","",ROW()-5)</f>
        <v/>
      </c>
      <c r="B239" s="48"/>
      <c r="C239" s="49"/>
      <c r="D239" s="50"/>
      <c r="E239" s="51"/>
      <c r="F239" s="52"/>
      <c r="G239" s="53"/>
      <c r="H239" s="50"/>
      <c r="I239" s="51"/>
      <c r="J239" s="53"/>
      <c r="K239" s="53"/>
      <c r="L239" s="39" t="str">
        <f aca="false">IF($B239="","",IF($H239="","보유중","청산"))</f>
        <v/>
      </c>
      <c r="M239" s="40" t="str">
        <f aca="false">IF($B239="","",$E239*$F239)</f>
        <v/>
      </c>
      <c r="N239" s="40" t="str">
        <f aca="false">IF($L239="청산",$I239*$F239,"")</f>
        <v/>
      </c>
      <c r="O239" s="40" t="str">
        <f aca="false">IF($B239="","",$G239+$J239+$K239)</f>
        <v/>
      </c>
      <c r="P239" s="41" t="str">
        <f aca="false">IF($L239="청산",$N239-$M239-$O239,"")</f>
        <v/>
      </c>
      <c r="Q239" s="42" t="str">
        <f aca="false">IF($L239="청산",IF($M239=0,"",$P239/$M239),"")</f>
        <v/>
      </c>
      <c r="R239" s="43" t="str">
        <f aca="true">IF($B239="","",IF($L239="청산",$H239-$D239,IF($D239="","",TODAY()-$D239)))</f>
        <v/>
      </c>
      <c r="S239" s="44" t="str">
        <f aca="false">IF($L239="청산",DATE(YEAR($H239),MONTH($H239),1),"")</f>
        <v/>
      </c>
      <c r="T239" s="48"/>
      <c r="U239" s="49"/>
      <c r="V239" s="46" t="str">
        <f aca="false">IF($B239="","",IF($L239&lt;&gt;"청산",N(V238),IF($P239&gt;0,N(V238)+1,0)))</f>
        <v/>
      </c>
      <c r="W239" s="46" t="str">
        <f aca="false">IF($B239="","",IF($L239&lt;&gt;"청산",N(W238),IF($P239&lt;0,N(W238)+1,0)))</f>
        <v/>
      </c>
    </row>
    <row r="240" customFormat="false" ht="15" hidden="false" customHeight="false" outlineLevel="0" collapsed="false">
      <c r="A240" s="32" t="str">
        <f aca="false">IF($B240="","",ROW()-5)</f>
        <v/>
      </c>
      <c r="B240" s="48"/>
      <c r="C240" s="49"/>
      <c r="D240" s="50"/>
      <c r="E240" s="51"/>
      <c r="F240" s="52"/>
      <c r="G240" s="53"/>
      <c r="H240" s="50"/>
      <c r="I240" s="51"/>
      <c r="J240" s="53"/>
      <c r="K240" s="53"/>
      <c r="L240" s="39" t="str">
        <f aca="false">IF($B240="","",IF($H240="","보유중","청산"))</f>
        <v/>
      </c>
      <c r="M240" s="40" t="str">
        <f aca="false">IF($B240="","",$E240*$F240)</f>
        <v/>
      </c>
      <c r="N240" s="40" t="str">
        <f aca="false">IF($L240="청산",$I240*$F240,"")</f>
        <v/>
      </c>
      <c r="O240" s="40" t="str">
        <f aca="false">IF($B240="","",$G240+$J240+$K240)</f>
        <v/>
      </c>
      <c r="P240" s="41" t="str">
        <f aca="false">IF($L240="청산",$N240-$M240-$O240,"")</f>
        <v/>
      </c>
      <c r="Q240" s="42" t="str">
        <f aca="false">IF($L240="청산",IF($M240=0,"",$P240/$M240),"")</f>
        <v/>
      </c>
      <c r="R240" s="43" t="str">
        <f aca="true">IF($B240="","",IF($L240="청산",$H240-$D240,IF($D240="","",TODAY()-$D240)))</f>
        <v/>
      </c>
      <c r="S240" s="44" t="str">
        <f aca="false">IF($L240="청산",DATE(YEAR($H240),MONTH($H240),1),"")</f>
        <v/>
      </c>
      <c r="T240" s="48"/>
      <c r="U240" s="49"/>
      <c r="V240" s="46" t="str">
        <f aca="false">IF($B240="","",IF($L240&lt;&gt;"청산",N(V239),IF($P240&gt;0,N(V239)+1,0)))</f>
        <v/>
      </c>
      <c r="W240" s="46" t="str">
        <f aca="false">IF($B240="","",IF($L240&lt;&gt;"청산",N(W239),IF($P240&lt;0,N(W239)+1,0)))</f>
        <v/>
      </c>
    </row>
    <row r="241" customFormat="false" ht="15" hidden="false" customHeight="false" outlineLevel="0" collapsed="false">
      <c r="A241" s="32" t="str">
        <f aca="false">IF($B241="","",ROW()-5)</f>
        <v/>
      </c>
      <c r="B241" s="48"/>
      <c r="C241" s="49"/>
      <c r="D241" s="50"/>
      <c r="E241" s="51"/>
      <c r="F241" s="52"/>
      <c r="G241" s="53"/>
      <c r="H241" s="50"/>
      <c r="I241" s="51"/>
      <c r="J241" s="53"/>
      <c r="K241" s="53"/>
      <c r="L241" s="39" t="str">
        <f aca="false">IF($B241="","",IF($H241="","보유중","청산"))</f>
        <v/>
      </c>
      <c r="M241" s="40" t="str">
        <f aca="false">IF($B241="","",$E241*$F241)</f>
        <v/>
      </c>
      <c r="N241" s="40" t="str">
        <f aca="false">IF($L241="청산",$I241*$F241,"")</f>
        <v/>
      </c>
      <c r="O241" s="40" t="str">
        <f aca="false">IF($B241="","",$G241+$J241+$K241)</f>
        <v/>
      </c>
      <c r="P241" s="41" t="str">
        <f aca="false">IF($L241="청산",$N241-$M241-$O241,"")</f>
        <v/>
      </c>
      <c r="Q241" s="42" t="str">
        <f aca="false">IF($L241="청산",IF($M241=0,"",$P241/$M241),"")</f>
        <v/>
      </c>
      <c r="R241" s="43" t="str">
        <f aca="true">IF($B241="","",IF($L241="청산",$H241-$D241,IF($D241="","",TODAY()-$D241)))</f>
        <v/>
      </c>
      <c r="S241" s="44" t="str">
        <f aca="false">IF($L241="청산",DATE(YEAR($H241),MONTH($H241),1),"")</f>
        <v/>
      </c>
      <c r="T241" s="48"/>
      <c r="U241" s="49"/>
      <c r="V241" s="46" t="str">
        <f aca="false">IF($B241="","",IF($L241&lt;&gt;"청산",N(V240),IF($P241&gt;0,N(V240)+1,0)))</f>
        <v/>
      </c>
      <c r="W241" s="46" t="str">
        <f aca="false">IF($B241="","",IF($L241&lt;&gt;"청산",N(W240),IF($P241&lt;0,N(W240)+1,0)))</f>
        <v/>
      </c>
    </row>
    <row r="242" customFormat="false" ht="15" hidden="false" customHeight="false" outlineLevel="0" collapsed="false">
      <c r="A242" s="32" t="str">
        <f aca="false">IF($B242="","",ROW()-5)</f>
        <v/>
      </c>
      <c r="B242" s="48"/>
      <c r="C242" s="49"/>
      <c r="D242" s="50"/>
      <c r="E242" s="51"/>
      <c r="F242" s="52"/>
      <c r="G242" s="53"/>
      <c r="H242" s="50"/>
      <c r="I242" s="51"/>
      <c r="J242" s="53"/>
      <c r="K242" s="53"/>
      <c r="L242" s="39" t="str">
        <f aca="false">IF($B242="","",IF($H242="","보유중","청산"))</f>
        <v/>
      </c>
      <c r="M242" s="40" t="str">
        <f aca="false">IF($B242="","",$E242*$F242)</f>
        <v/>
      </c>
      <c r="N242" s="40" t="str">
        <f aca="false">IF($L242="청산",$I242*$F242,"")</f>
        <v/>
      </c>
      <c r="O242" s="40" t="str">
        <f aca="false">IF($B242="","",$G242+$J242+$K242)</f>
        <v/>
      </c>
      <c r="P242" s="41" t="str">
        <f aca="false">IF($L242="청산",$N242-$M242-$O242,"")</f>
        <v/>
      </c>
      <c r="Q242" s="42" t="str">
        <f aca="false">IF($L242="청산",IF($M242=0,"",$P242/$M242),"")</f>
        <v/>
      </c>
      <c r="R242" s="43" t="str">
        <f aca="true">IF($B242="","",IF($L242="청산",$H242-$D242,IF($D242="","",TODAY()-$D242)))</f>
        <v/>
      </c>
      <c r="S242" s="44" t="str">
        <f aca="false">IF($L242="청산",DATE(YEAR($H242),MONTH($H242),1),"")</f>
        <v/>
      </c>
      <c r="T242" s="48"/>
      <c r="U242" s="49"/>
      <c r="V242" s="46" t="str">
        <f aca="false">IF($B242="","",IF($L242&lt;&gt;"청산",N(V241),IF($P242&gt;0,N(V241)+1,0)))</f>
        <v/>
      </c>
      <c r="W242" s="46" t="str">
        <f aca="false">IF($B242="","",IF($L242&lt;&gt;"청산",N(W241),IF($P242&lt;0,N(W241)+1,0)))</f>
        <v/>
      </c>
    </row>
    <row r="243" customFormat="false" ht="15" hidden="false" customHeight="false" outlineLevel="0" collapsed="false">
      <c r="A243" s="32" t="str">
        <f aca="false">IF($B243="","",ROW()-5)</f>
        <v/>
      </c>
      <c r="B243" s="48"/>
      <c r="C243" s="49"/>
      <c r="D243" s="50"/>
      <c r="E243" s="51"/>
      <c r="F243" s="52"/>
      <c r="G243" s="53"/>
      <c r="H243" s="50"/>
      <c r="I243" s="51"/>
      <c r="J243" s="53"/>
      <c r="K243" s="53"/>
      <c r="L243" s="39" t="str">
        <f aca="false">IF($B243="","",IF($H243="","보유중","청산"))</f>
        <v/>
      </c>
      <c r="M243" s="40" t="str">
        <f aca="false">IF($B243="","",$E243*$F243)</f>
        <v/>
      </c>
      <c r="N243" s="40" t="str">
        <f aca="false">IF($L243="청산",$I243*$F243,"")</f>
        <v/>
      </c>
      <c r="O243" s="40" t="str">
        <f aca="false">IF($B243="","",$G243+$J243+$K243)</f>
        <v/>
      </c>
      <c r="P243" s="41" t="str">
        <f aca="false">IF($L243="청산",$N243-$M243-$O243,"")</f>
        <v/>
      </c>
      <c r="Q243" s="42" t="str">
        <f aca="false">IF($L243="청산",IF($M243=0,"",$P243/$M243),"")</f>
        <v/>
      </c>
      <c r="R243" s="43" t="str">
        <f aca="true">IF($B243="","",IF($L243="청산",$H243-$D243,IF($D243="","",TODAY()-$D243)))</f>
        <v/>
      </c>
      <c r="S243" s="44" t="str">
        <f aca="false">IF($L243="청산",DATE(YEAR($H243),MONTH($H243),1),"")</f>
        <v/>
      </c>
      <c r="T243" s="48"/>
      <c r="U243" s="49"/>
      <c r="V243" s="46" t="str">
        <f aca="false">IF($B243="","",IF($L243&lt;&gt;"청산",N(V242),IF($P243&gt;0,N(V242)+1,0)))</f>
        <v/>
      </c>
      <c r="W243" s="46" t="str">
        <f aca="false">IF($B243="","",IF($L243&lt;&gt;"청산",N(W242),IF($P243&lt;0,N(W242)+1,0)))</f>
        <v/>
      </c>
    </row>
    <row r="244" customFormat="false" ht="15" hidden="false" customHeight="false" outlineLevel="0" collapsed="false">
      <c r="A244" s="32" t="str">
        <f aca="false">IF($B244="","",ROW()-5)</f>
        <v/>
      </c>
      <c r="B244" s="48"/>
      <c r="C244" s="49"/>
      <c r="D244" s="50"/>
      <c r="E244" s="51"/>
      <c r="F244" s="52"/>
      <c r="G244" s="53"/>
      <c r="H244" s="50"/>
      <c r="I244" s="51"/>
      <c r="J244" s="53"/>
      <c r="K244" s="53"/>
      <c r="L244" s="39" t="str">
        <f aca="false">IF($B244="","",IF($H244="","보유중","청산"))</f>
        <v/>
      </c>
      <c r="M244" s="40" t="str">
        <f aca="false">IF($B244="","",$E244*$F244)</f>
        <v/>
      </c>
      <c r="N244" s="40" t="str">
        <f aca="false">IF($L244="청산",$I244*$F244,"")</f>
        <v/>
      </c>
      <c r="O244" s="40" t="str">
        <f aca="false">IF($B244="","",$G244+$J244+$K244)</f>
        <v/>
      </c>
      <c r="P244" s="41" t="str">
        <f aca="false">IF($L244="청산",$N244-$M244-$O244,"")</f>
        <v/>
      </c>
      <c r="Q244" s="42" t="str">
        <f aca="false">IF($L244="청산",IF($M244=0,"",$P244/$M244),"")</f>
        <v/>
      </c>
      <c r="R244" s="43" t="str">
        <f aca="true">IF($B244="","",IF($L244="청산",$H244-$D244,IF($D244="","",TODAY()-$D244)))</f>
        <v/>
      </c>
      <c r="S244" s="44" t="str">
        <f aca="false">IF($L244="청산",DATE(YEAR($H244),MONTH($H244),1),"")</f>
        <v/>
      </c>
      <c r="T244" s="48"/>
      <c r="U244" s="49"/>
      <c r="V244" s="46" t="str">
        <f aca="false">IF($B244="","",IF($L244&lt;&gt;"청산",N(V243),IF($P244&gt;0,N(V243)+1,0)))</f>
        <v/>
      </c>
      <c r="W244" s="46" t="str">
        <f aca="false">IF($B244="","",IF($L244&lt;&gt;"청산",N(W243),IF($P244&lt;0,N(W243)+1,0)))</f>
        <v/>
      </c>
    </row>
    <row r="245" customFormat="false" ht="15" hidden="false" customHeight="false" outlineLevel="0" collapsed="false">
      <c r="A245" s="32" t="str">
        <f aca="false">IF($B245="","",ROW()-5)</f>
        <v/>
      </c>
      <c r="B245" s="48"/>
      <c r="C245" s="49"/>
      <c r="D245" s="50"/>
      <c r="E245" s="51"/>
      <c r="F245" s="52"/>
      <c r="G245" s="53"/>
      <c r="H245" s="50"/>
      <c r="I245" s="51"/>
      <c r="J245" s="53"/>
      <c r="K245" s="53"/>
      <c r="L245" s="39" t="str">
        <f aca="false">IF($B245="","",IF($H245="","보유중","청산"))</f>
        <v/>
      </c>
      <c r="M245" s="40" t="str">
        <f aca="false">IF($B245="","",$E245*$F245)</f>
        <v/>
      </c>
      <c r="N245" s="40" t="str">
        <f aca="false">IF($L245="청산",$I245*$F245,"")</f>
        <v/>
      </c>
      <c r="O245" s="40" t="str">
        <f aca="false">IF($B245="","",$G245+$J245+$K245)</f>
        <v/>
      </c>
      <c r="P245" s="41" t="str">
        <f aca="false">IF($L245="청산",$N245-$M245-$O245,"")</f>
        <v/>
      </c>
      <c r="Q245" s="42" t="str">
        <f aca="false">IF($L245="청산",IF($M245=0,"",$P245/$M245),"")</f>
        <v/>
      </c>
      <c r="R245" s="43" t="str">
        <f aca="true">IF($B245="","",IF($L245="청산",$H245-$D245,IF($D245="","",TODAY()-$D245)))</f>
        <v/>
      </c>
      <c r="S245" s="44" t="str">
        <f aca="false">IF($L245="청산",DATE(YEAR($H245),MONTH($H245),1),"")</f>
        <v/>
      </c>
      <c r="T245" s="48"/>
      <c r="U245" s="49"/>
      <c r="V245" s="46" t="str">
        <f aca="false">IF($B245="","",IF($L245&lt;&gt;"청산",N(V244),IF($P245&gt;0,N(V244)+1,0)))</f>
        <v/>
      </c>
      <c r="W245" s="46" t="str">
        <f aca="false">IF($B245="","",IF($L245&lt;&gt;"청산",N(W244),IF($P245&lt;0,N(W244)+1,0)))</f>
        <v/>
      </c>
    </row>
    <row r="246" customFormat="false" ht="15" hidden="false" customHeight="false" outlineLevel="0" collapsed="false">
      <c r="A246" s="32" t="str">
        <f aca="false">IF($B246="","",ROW()-5)</f>
        <v/>
      </c>
      <c r="B246" s="48"/>
      <c r="C246" s="49"/>
      <c r="D246" s="50"/>
      <c r="E246" s="51"/>
      <c r="F246" s="52"/>
      <c r="G246" s="53"/>
      <c r="H246" s="50"/>
      <c r="I246" s="51"/>
      <c r="J246" s="53"/>
      <c r="K246" s="53"/>
      <c r="L246" s="39" t="str">
        <f aca="false">IF($B246="","",IF($H246="","보유중","청산"))</f>
        <v/>
      </c>
      <c r="M246" s="40" t="str">
        <f aca="false">IF($B246="","",$E246*$F246)</f>
        <v/>
      </c>
      <c r="N246" s="40" t="str">
        <f aca="false">IF($L246="청산",$I246*$F246,"")</f>
        <v/>
      </c>
      <c r="O246" s="40" t="str">
        <f aca="false">IF($B246="","",$G246+$J246+$K246)</f>
        <v/>
      </c>
      <c r="P246" s="41" t="str">
        <f aca="false">IF($L246="청산",$N246-$M246-$O246,"")</f>
        <v/>
      </c>
      <c r="Q246" s="42" t="str">
        <f aca="false">IF($L246="청산",IF($M246=0,"",$P246/$M246),"")</f>
        <v/>
      </c>
      <c r="R246" s="43" t="str">
        <f aca="true">IF($B246="","",IF($L246="청산",$H246-$D246,IF($D246="","",TODAY()-$D246)))</f>
        <v/>
      </c>
      <c r="S246" s="44" t="str">
        <f aca="false">IF($L246="청산",DATE(YEAR($H246),MONTH($H246),1),"")</f>
        <v/>
      </c>
      <c r="T246" s="48"/>
      <c r="U246" s="49"/>
      <c r="V246" s="46" t="str">
        <f aca="false">IF($B246="","",IF($L246&lt;&gt;"청산",N(V245),IF($P246&gt;0,N(V245)+1,0)))</f>
        <v/>
      </c>
      <c r="W246" s="46" t="str">
        <f aca="false">IF($B246="","",IF($L246&lt;&gt;"청산",N(W245),IF($P246&lt;0,N(W245)+1,0)))</f>
        <v/>
      </c>
    </row>
    <row r="247" customFormat="false" ht="15" hidden="false" customHeight="false" outlineLevel="0" collapsed="false">
      <c r="A247" s="32" t="str">
        <f aca="false">IF($B247="","",ROW()-5)</f>
        <v/>
      </c>
      <c r="B247" s="48"/>
      <c r="C247" s="49"/>
      <c r="D247" s="50"/>
      <c r="E247" s="51"/>
      <c r="F247" s="52"/>
      <c r="G247" s="53"/>
      <c r="H247" s="50"/>
      <c r="I247" s="51"/>
      <c r="J247" s="53"/>
      <c r="K247" s="53"/>
      <c r="L247" s="39" t="str">
        <f aca="false">IF($B247="","",IF($H247="","보유중","청산"))</f>
        <v/>
      </c>
      <c r="M247" s="40" t="str">
        <f aca="false">IF($B247="","",$E247*$F247)</f>
        <v/>
      </c>
      <c r="N247" s="40" t="str">
        <f aca="false">IF($L247="청산",$I247*$F247,"")</f>
        <v/>
      </c>
      <c r="O247" s="40" t="str">
        <f aca="false">IF($B247="","",$G247+$J247+$K247)</f>
        <v/>
      </c>
      <c r="P247" s="41" t="str">
        <f aca="false">IF($L247="청산",$N247-$M247-$O247,"")</f>
        <v/>
      </c>
      <c r="Q247" s="42" t="str">
        <f aca="false">IF($L247="청산",IF($M247=0,"",$P247/$M247),"")</f>
        <v/>
      </c>
      <c r="R247" s="43" t="str">
        <f aca="true">IF($B247="","",IF($L247="청산",$H247-$D247,IF($D247="","",TODAY()-$D247)))</f>
        <v/>
      </c>
      <c r="S247" s="44" t="str">
        <f aca="false">IF($L247="청산",DATE(YEAR($H247),MONTH($H247),1),"")</f>
        <v/>
      </c>
      <c r="T247" s="48"/>
      <c r="U247" s="49"/>
      <c r="V247" s="46" t="str">
        <f aca="false">IF($B247="","",IF($L247&lt;&gt;"청산",N(V246),IF($P247&gt;0,N(V246)+1,0)))</f>
        <v/>
      </c>
      <c r="W247" s="46" t="str">
        <f aca="false">IF($B247="","",IF($L247&lt;&gt;"청산",N(W246),IF($P247&lt;0,N(W246)+1,0)))</f>
        <v/>
      </c>
    </row>
    <row r="248" customFormat="false" ht="15" hidden="false" customHeight="false" outlineLevel="0" collapsed="false">
      <c r="A248" s="32" t="str">
        <f aca="false">IF($B248="","",ROW()-5)</f>
        <v/>
      </c>
      <c r="B248" s="48"/>
      <c r="C248" s="49"/>
      <c r="D248" s="50"/>
      <c r="E248" s="51"/>
      <c r="F248" s="52"/>
      <c r="G248" s="53"/>
      <c r="H248" s="50"/>
      <c r="I248" s="51"/>
      <c r="J248" s="53"/>
      <c r="K248" s="53"/>
      <c r="L248" s="39" t="str">
        <f aca="false">IF($B248="","",IF($H248="","보유중","청산"))</f>
        <v/>
      </c>
      <c r="M248" s="40" t="str">
        <f aca="false">IF($B248="","",$E248*$F248)</f>
        <v/>
      </c>
      <c r="N248" s="40" t="str">
        <f aca="false">IF($L248="청산",$I248*$F248,"")</f>
        <v/>
      </c>
      <c r="O248" s="40" t="str">
        <f aca="false">IF($B248="","",$G248+$J248+$K248)</f>
        <v/>
      </c>
      <c r="P248" s="41" t="str">
        <f aca="false">IF($L248="청산",$N248-$M248-$O248,"")</f>
        <v/>
      </c>
      <c r="Q248" s="42" t="str">
        <f aca="false">IF($L248="청산",IF($M248=0,"",$P248/$M248),"")</f>
        <v/>
      </c>
      <c r="R248" s="43" t="str">
        <f aca="true">IF($B248="","",IF($L248="청산",$H248-$D248,IF($D248="","",TODAY()-$D248)))</f>
        <v/>
      </c>
      <c r="S248" s="44" t="str">
        <f aca="false">IF($L248="청산",DATE(YEAR($H248),MONTH($H248),1),"")</f>
        <v/>
      </c>
      <c r="T248" s="48"/>
      <c r="U248" s="49"/>
      <c r="V248" s="46" t="str">
        <f aca="false">IF($B248="","",IF($L248&lt;&gt;"청산",N(V247),IF($P248&gt;0,N(V247)+1,0)))</f>
        <v/>
      </c>
      <c r="W248" s="46" t="str">
        <f aca="false">IF($B248="","",IF($L248&lt;&gt;"청산",N(W247),IF($P248&lt;0,N(W247)+1,0)))</f>
        <v/>
      </c>
    </row>
    <row r="249" customFormat="false" ht="15" hidden="false" customHeight="false" outlineLevel="0" collapsed="false">
      <c r="A249" s="32" t="str">
        <f aca="false">IF($B249="","",ROW()-5)</f>
        <v/>
      </c>
      <c r="B249" s="48"/>
      <c r="C249" s="49"/>
      <c r="D249" s="50"/>
      <c r="E249" s="51"/>
      <c r="F249" s="52"/>
      <c r="G249" s="53"/>
      <c r="H249" s="50"/>
      <c r="I249" s="51"/>
      <c r="J249" s="53"/>
      <c r="K249" s="53"/>
      <c r="L249" s="39" t="str">
        <f aca="false">IF($B249="","",IF($H249="","보유중","청산"))</f>
        <v/>
      </c>
      <c r="M249" s="40" t="str">
        <f aca="false">IF($B249="","",$E249*$F249)</f>
        <v/>
      </c>
      <c r="N249" s="40" t="str">
        <f aca="false">IF($L249="청산",$I249*$F249,"")</f>
        <v/>
      </c>
      <c r="O249" s="40" t="str">
        <f aca="false">IF($B249="","",$G249+$J249+$K249)</f>
        <v/>
      </c>
      <c r="P249" s="41" t="str">
        <f aca="false">IF($L249="청산",$N249-$M249-$O249,"")</f>
        <v/>
      </c>
      <c r="Q249" s="42" t="str">
        <f aca="false">IF($L249="청산",IF($M249=0,"",$P249/$M249),"")</f>
        <v/>
      </c>
      <c r="R249" s="43" t="str">
        <f aca="true">IF($B249="","",IF($L249="청산",$H249-$D249,IF($D249="","",TODAY()-$D249)))</f>
        <v/>
      </c>
      <c r="S249" s="44" t="str">
        <f aca="false">IF($L249="청산",DATE(YEAR($H249),MONTH($H249),1),"")</f>
        <v/>
      </c>
      <c r="T249" s="48"/>
      <c r="U249" s="49"/>
      <c r="V249" s="46" t="str">
        <f aca="false">IF($B249="","",IF($L249&lt;&gt;"청산",N(V248),IF($P249&gt;0,N(V248)+1,0)))</f>
        <v/>
      </c>
      <c r="W249" s="46" t="str">
        <f aca="false">IF($B249="","",IF($L249&lt;&gt;"청산",N(W248),IF($P249&lt;0,N(W248)+1,0)))</f>
        <v/>
      </c>
    </row>
    <row r="250" customFormat="false" ht="15" hidden="false" customHeight="false" outlineLevel="0" collapsed="false">
      <c r="A250" s="32" t="str">
        <f aca="false">IF($B250="","",ROW()-5)</f>
        <v/>
      </c>
      <c r="B250" s="48"/>
      <c r="C250" s="49"/>
      <c r="D250" s="50"/>
      <c r="E250" s="51"/>
      <c r="F250" s="52"/>
      <c r="G250" s="53"/>
      <c r="H250" s="50"/>
      <c r="I250" s="51"/>
      <c r="J250" s="53"/>
      <c r="K250" s="53"/>
      <c r="L250" s="39" t="str">
        <f aca="false">IF($B250="","",IF($H250="","보유중","청산"))</f>
        <v/>
      </c>
      <c r="M250" s="40" t="str">
        <f aca="false">IF($B250="","",$E250*$F250)</f>
        <v/>
      </c>
      <c r="N250" s="40" t="str">
        <f aca="false">IF($L250="청산",$I250*$F250,"")</f>
        <v/>
      </c>
      <c r="O250" s="40" t="str">
        <f aca="false">IF($B250="","",$G250+$J250+$K250)</f>
        <v/>
      </c>
      <c r="P250" s="41" t="str">
        <f aca="false">IF($L250="청산",$N250-$M250-$O250,"")</f>
        <v/>
      </c>
      <c r="Q250" s="42" t="str">
        <f aca="false">IF($L250="청산",IF($M250=0,"",$P250/$M250),"")</f>
        <v/>
      </c>
      <c r="R250" s="43" t="str">
        <f aca="true">IF($B250="","",IF($L250="청산",$H250-$D250,IF($D250="","",TODAY()-$D250)))</f>
        <v/>
      </c>
      <c r="S250" s="44" t="str">
        <f aca="false">IF($L250="청산",DATE(YEAR($H250),MONTH($H250),1),"")</f>
        <v/>
      </c>
      <c r="T250" s="48"/>
      <c r="U250" s="49"/>
      <c r="V250" s="46" t="str">
        <f aca="false">IF($B250="","",IF($L250&lt;&gt;"청산",N(V249),IF($P250&gt;0,N(V249)+1,0)))</f>
        <v/>
      </c>
      <c r="W250" s="46" t="str">
        <f aca="false">IF($B250="","",IF($L250&lt;&gt;"청산",N(W249),IF($P250&lt;0,N(W249)+1,0)))</f>
        <v/>
      </c>
    </row>
    <row r="251" customFormat="false" ht="15" hidden="false" customHeight="false" outlineLevel="0" collapsed="false">
      <c r="A251" s="32" t="str">
        <f aca="false">IF($B251="","",ROW()-5)</f>
        <v/>
      </c>
      <c r="B251" s="48"/>
      <c r="C251" s="49"/>
      <c r="D251" s="50"/>
      <c r="E251" s="51"/>
      <c r="F251" s="52"/>
      <c r="G251" s="53"/>
      <c r="H251" s="50"/>
      <c r="I251" s="51"/>
      <c r="J251" s="53"/>
      <c r="K251" s="53"/>
      <c r="L251" s="39" t="str">
        <f aca="false">IF($B251="","",IF($H251="","보유중","청산"))</f>
        <v/>
      </c>
      <c r="M251" s="40" t="str">
        <f aca="false">IF($B251="","",$E251*$F251)</f>
        <v/>
      </c>
      <c r="N251" s="40" t="str">
        <f aca="false">IF($L251="청산",$I251*$F251,"")</f>
        <v/>
      </c>
      <c r="O251" s="40" t="str">
        <f aca="false">IF($B251="","",$G251+$J251+$K251)</f>
        <v/>
      </c>
      <c r="P251" s="41" t="str">
        <f aca="false">IF($L251="청산",$N251-$M251-$O251,"")</f>
        <v/>
      </c>
      <c r="Q251" s="42" t="str">
        <f aca="false">IF($L251="청산",IF($M251=0,"",$P251/$M251),"")</f>
        <v/>
      </c>
      <c r="R251" s="43" t="str">
        <f aca="true">IF($B251="","",IF($L251="청산",$H251-$D251,IF($D251="","",TODAY()-$D251)))</f>
        <v/>
      </c>
      <c r="S251" s="44" t="str">
        <f aca="false">IF($L251="청산",DATE(YEAR($H251),MONTH($H251),1),"")</f>
        <v/>
      </c>
      <c r="T251" s="48"/>
      <c r="U251" s="49"/>
      <c r="V251" s="46" t="str">
        <f aca="false">IF($B251="","",IF($L251&lt;&gt;"청산",N(V250),IF($P251&gt;0,N(V250)+1,0)))</f>
        <v/>
      </c>
      <c r="W251" s="46" t="str">
        <f aca="false">IF($B251="","",IF($L251&lt;&gt;"청산",N(W250),IF($P251&lt;0,N(W250)+1,0)))</f>
        <v/>
      </c>
    </row>
    <row r="252" customFormat="false" ht="15" hidden="false" customHeight="false" outlineLevel="0" collapsed="false">
      <c r="A252" s="32" t="str">
        <f aca="false">IF($B252="","",ROW()-5)</f>
        <v/>
      </c>
      <c r="B252" s="48"/>
      <c r="C252" s="49"/>
      <c r="D252" s="50"/>
      <c r="E252" s="51"/>
      <c r="F252" s="52"/>
      <c r="G252" s="53"/>
      <c r="H252" s="50"/>
      <c r="I252" s="51"/>
      <c r="J252" s="53"/>
      <c r="K252" s="53"/>
      <c r="L252" s="39" t="str">
        <f aca="false">IF($B252="","",IF($H252="","보유중","청산"))</f>
        <v/>
      </c>
      <c r="M252" s="40" t="str">
        <f aca="false">IF($B252="","",$E252*$F252)</f>
        <v/>
      </c>
      <c r="N252" s="40" t="str">
        <f aca="false">IF($L252="청산",$I252*$F252,"")</f>
        <v/>
      </c>
      <c r="O252" s="40" t="str">
        <f aca="false">IF($B252="","",$G252+$J252+$K252)</f>
        <v/>
      </c>
      <c r="P252" s="41" t="str">
        <f aca="false">IF($L252="청산",$N252-$M252-$O252,"")</f>
        <v/>
      </c>
      <c r="Q252" s="42" t="str">
        <f aca="false">IF($L252="청산",IF($M252=0,"",$P252/$M252),"")</f>
        <v/>
      </c>
      <c r="R252" s="43" t="str">
        <f aca="true">IF($B252="","",IF($L252="청산",$H252-$D252,IF($D252="","",TODAY()-$D252)))</f>
        <v/>
      </c>
      <c r="S252" s="44" t="str">
        <f aca="false">IF($L252="청산",DATE(YEAR($H252),MONTH($H252),1),"")</f>
        <v/>
      </c>
      <c r="T252" s="48"/>
      <c r="U252" s="49"/>
      <c r="V252" s="46" t="str">
        <f aca="false">IF($B252="","",IF($L252&lt;&gt;"청산",N(V251),IF($P252&gt;0,N(V251)+1,0)))</f>
        <v/>
      </c>
      <c r="W252" s="46" t="str">
        <f aca="false">IF($B252="","",IF($L252&lt;&gt;"청산",N(W251),IF($P252&lt;0,N(W251)+1,0)))</f>
        <v/>
      </c>
    </row>
    <row r="253" customFormat="false" ht="15" hidden="false" customHeight="false" outlineLevel="0" collapsed="false">
      <c r="A253" s="32" t="str">
        <f aca="false">IF($B253="","",ROW()-5)</f>
        <v/>
      </c>
      <c r="B253" s="48"/>
      <c r="C253" s="49"/>
      <c r="D253" s="50"/>
      <c r="E253" s="51"/>
      <c r="F253" s="52"/>
      <c r="G253" s="53"/>
      <c r="H253" s="50"/>
      <c r="I253" s="51"/>
      <c r="J253" s="53"/>
      <c r="K253" s="53"/>
      <c r="L253" s="39" t="str">
        <f aca="false">IF($B253="","",IF($H253="","보유중","청산"))</f>
        <v/>
      </c>
      <c r="M253" s="40" t="str">
        <f aca="false">IF($B253="","",$E253*$F253)</f>
        <v/>
      </c>
      <c r="N253" s="40" t="str">
        <f aca="false">IF($L253="청산",$I253*$F253,"")</f>
        <v/>
      </c>
      <c r="O253" s="40" t="str">
        <f aca="false">IF($B253="","",$G253+$J253+$K253)</f>
        <v/>
      </c>
      <c r="P253" s="41" t="str">
        <f aca="false">IF($L253="청산",$N253-$M253-$O253,"")</f>
        <v/>
      </c>
      <c r="Q253" s="42" t="str">
        <f aca="false">IF($L253="청산",IF($M253=0,"",$P253/$M253),"")</f>
        <v/>
      </c>
      <c r="R253" s="43" t="str">
        <f aca="true">IF($B253="","",IF($L253="청산",$H253-$D253,IF($D253="","",TODAY()-$D253)))</f>
        <v/>
      </c>
      <c r="S253" s="44" t="str">
        <f aca="false">IF($L253="청산",DATE(YEAR($H253),MONTH($H253),1),"")</f>
        <v/>
      </c>
      <c r="T253" s="48"/>
      <c r="U253" s="49"/>
      <c r="V253" s="46" t="str">
        <f aca="false">IF($B253="","",IF($L253&lt;&gt;"청산",N(V252),IF($P253&gt;0,N(V252)+1,0)))</f>
        <v/>
      </c>
      <c r="W253" s="46" t="str">
        <f aca="false">IF($B253="","",IF($L253&lt;&gt;"청산",N(W252),IF($P253&lt;0,N(W252)+1,0)))</f>
        <v/>
      </c>
    </row>
    <row r="254" customFormat="false" ht="15" hidden="false" customHeight="false" outlineLevel="0" collapsed="false">
      <c r="A254" s="32" t="str">
        <f aca="false">IF($B254="","",ROW()-5)</f>
        <v/>
      </c>
      <c r="B254" s="48"/>
      <c r="C254" s="49"/>
      <c r="D254" s="50"/>
      <c r="E254" s="51"/>
      <c r="F254" s="52"/>
      <c r="G254" s="53"/>
      <c r="H254" s="50"/>
      <c r="I254" s="51"/>
      <c r="J254" s="53"/>
      <c r="K254" s="53"/>
      <c r="L254" s="39" t="str">
        <f aca="false">IF($B254="","",IF($H254="","보유중","청산"))</f>
        <v/>
      </c>
      <c r="M254" s="40" t="str">
        <f aca="false">IF($B254="","",$E254*$F254)</f>
        <v/>
      </c>
      <c r="N254" s="40" t="str">
        <f aca="false">IF($L254="청산",$I254*$F254,"")</f>
        <v/>
      </c>
      <c r="O254" s="40" t="str">
        <f aca="false">IF($B254="","",$G254+$J254+$K254)</f>
        <v/>
      </c>
      <c r="P254" s="41" t="str">
        <f aca="false">IF($L254="청산",$N254-$M254-$O254,"")</f>
        <v/>
      </c>
      <c r="Q254" s="42" t="str">
        <f aca="false">IF($L254="청산",IF($M254=0,"",$P254/$M254),"")</f>
        <v/>
      </c>
      <c r="R254" s="43" t="str">
        <f aca="true">IF($B254="","",IF($L254="청산",$H254-$D254,IF($D254="","",TODAY()-$D254)))</f>
        <v/>
      </c>
      <c r="S254" s="44" t="str">
        <f aca="false">IF($L254="청산",DATE(YEAR($H254),MONTH($H254),1),"")</f>
        <v/>
      </c>
      <c r="T254" s="48"/>
      <c r="U254" s="49"/>
      <c r="V254" s="46" t="str">
        <f aca="false">IF($B254="","",IF($L254&lt;&gt;"청산",N(V253),IF($P254&gt;0,N(V253)+1,0)))</f>
        <v/>
      </c>
      <c r="W254" s="46" t="str">
        <f aca="false">IF($B254="","",IF($L254&lt;&gt;"청산",N(W253),IF($P254&lt;0,N(W253)+1,0)))</f>
        <v/>
      </c>
    </row>
    <row r="255" customFormat="false" ht="15" hidden="false" customHeight="false" outlineLevel="0" collapsed="false">
      <c r="A255" s="32" t="str">
        <f aca="false">IF($B255="","",ROW()-5)</f>
        <v/>
      </c>
      <c r="B255" s="48"/>
      <c r="C255" s="49"/>
      <c r="D255" s="50"/>
      <c r="E255" s="51"/>
      <c r="F255" s="52"/>
      <c r="G255" s="53"/>
      <c r="H255" s="50"/>
      <c r="I255" s="51"/>
      <c r="J255" s="53"/>
      <c r="K255" s="53"/>
      <c r="L255" s="39" t="str">
        <f aca="false">IF($B255="","",IF($H255="","보유중","청산"))</f>
        <v/>
      </c>
      <c r="M255" s="40" t="str">
        <f aca="false">IF($B255="","",$E255*$F255)</f>
        <v/>
      </c>
      <c r="N255" s="40" t="str">
        <f aca="false">IF($L255="청산",$I255*$F255,"")</f>
        <v/>
      </c>
      <c r="O255" s="40" t="str">
        <f aca="false">IF($B255="","",$G255+$J255+$K255)</f>
        <v/>
      </c>
      <c r="P255" s="41" t="str">
        <f aca="false">IF($L255="청산",$N255-$M255-$O255,"")</f>
        <v/>
      </c>
      <c r="Q255" s="42" t="str">
        <f aca="false">IF($L255="청산",IF($M255=0,"",$P255/$M255),"")</f>
        <v/>
      </c>
      <c r="R255" s="43" t="str">
        <f aca="true">IF($B255="","",IF($L255="청산",$H255-$D255,IF($D255="","",TODAY()-$D255)))</f>
        <v/>
      </c>
      <c r="S255" s="44" t="str">
        <f aca="false">IF($L255="청산",DATE(YEAR($H255),MONTH($H255),1),"")</f>
        <v/>
      </c>
      <c r="T255" s="48"/>
      <c r="U255" s="49"/>
      <c r="V255" s="46" t="str">
        <f aca="false">IF($B255="","",IF($L255&lt;&gt;"청산",N(V254),IF($P255&gt;0,N(V254)+1,0)))</f>
        <v/>
      </c>
      <c r="W255" s="46" t="str">
        <f aca="false">IF($B255="","",IF($L255&lt;&gt;"청산",N(W254),IF($P255&lt;0,N(W254)+1,0)))</f>
        <v/>
      </c>
    </row>
    <row r="256" customFormat="false" ht="15" hidden="false" customHeight="false" outlineLevel="0" collapsed="false">
      <c r="A256" s="32" t="str">
        <f aca="false">IF($B256="","",ROW()-5)</f>
        <v/>
      </c>
      <c r="B256" s="48"/>
      <c r="C256" s="49"/>
      <c r="D256" s="50"/>
      <c r="E256" s="51"/>
      <c r="F256" s="52"/>
      <c r="G256" s="53"/>
      <c r="H256" s="50"/>
      <c r="I256" s="51"/>
      <c r="J256" s="53"/>
      <c r="K256" s="53"/>
      <c r="L256" s="39" t="str">
        <f aca="false">IF($B256="","",IF($H256="","보유중","청산"))</f>
        <v/>
      </c>
      <c r="M256" s="40" t="str">
        <f aca="false">IF($B256="","",$E256*$F256)</f>
        <v/>
      </c>
      <c r="N256" s="40" t="str">
        <f aca="false">IF($L256="청산",$I256*$F256,"")</f>
        <v/>
      </c>
      <c r="O256" s="40" t="str">
        <f aca="false">IF($B256="","",$G256+$J256+$K256)</f>
        <v/>
      </c>
      <c r="P256" s="41" t="str">
        <f aca="false">IF($L256="청산",$N256-$M256-$O256,"")</f>
        <v/>
      </c>
      <c r="Q256" s="42" t="str">
        <f aca="false">IF($L256="청산",IF($M256=0,"",$P256/$M256),"")</f>
        <v/>
      </c>
      <c r="R256" s="43" t="str">
        <f aca="true">IF($B256="","",IF($L256="청산",$H256-$D256,IF($D256="","",TODAY()-$D256)))</f>
        <v/>
      </c>
      <c r="S256" s="44" t="str">
        <f aca="false">IF($L256="청산",DATE(YEAR($H256),MONTH($H256),1),"")</f>
        <v/>
      </c>
      <c r="T256" s="48"/>
      <c r="U256" s="49"/>
      <c r="V256" s="46" t="str">
        <f aca="false">IF($B256="","",IF($L256&lt;&gt;"청산",N(V255),IF($P256&gt;0,N(V255)+1,0)))</f>
        <v/>
      </c>
      <c r="W256" s="46" t="str">
        <f aca="false">IF($B256="","",IF($L256&lt;&gt;"청산",N(W255),IF($P256&lt;0,N(W255)+1,0)))</f>
        <v/>
      </c>
    </row>
    <row r="257" customFormat="false" ht="15" hidden="false" customHeight="false" outlineLevel="0" collapsed="false">
      <c r="A257" s="32" t="str">
        <f aca="false">IF($B257="","",ROW()-5)</f>
        <v/>
      </c>
      <c r="B257" s="48"/>
      <c r="C257" s="49"/>
      <c r="D257" s="50"/>
      <c r="E257" s="51"/>
      <c r="F257" s="52"/>
      <c r="G257" s="53"/>
      <c r="H257" s="50"/>
      <c r="I257" s="51"/>
      <c r="J257" s="53"/>
      <c r="K257" s="53"/>
      <c r="L257" s="39" t="str">
        <f aca="false">IF($B257="","",IF($H257="","보유중","청산"))</f>
        <v/>
      </c>
      <c r="M257" s="40" t="str">
        <f aca="false">IF($B257="","",$E257*$F257)</f>
        <v/>
      </c>
      <c r="N257" s="40" t="str">
        <f aca="false">IF($L257="청산",$I257*$F257,"")</f>
        <v/>
      </c>
      <c r="O257" s="40" t="str">
        <f aca="false">IF($B257="","",$G257+$J257+$K257)</f>
        <v/>
      </c>
      <c r="P257" s="41" t="str">
        <f aca="false">IF($L257="청산",$N257-$M257-$O257,"")</f>
        <v/>
      </c>
      <c r="Q257" s="42" t="str">
        <f aca="false">IF($L257="청산",IF($M257=0,"",$P257/$M257),"")</f>
        <v/>
      </c>
      <c r="R257" s="43" t="str">
        <f aca="true">IF($B257="","",IF($L257="청산",$H257-$D257,IF($D257="","",TODAY()-$D257)))</f>
        <v/>
      </c>
      <c r="S257" s="44" t="str">
        <f aca="false">IF($L257="청산",DATE(YEAR($H257),MONTH($H257),1),"")</f>
        <v/>
      </c>
      <c r="T257" s="48"/>
      <c r="U257" s="49"/>
      <c r="V257" s="46" t="str">
        <f aca="false">IF($B257="","",IF($L257&lt;&gt;"청산",N(V256),IF($P257&gt;0,N(V256)+1,0)))</f>
        <v/>
      </c>
      <c r="W257" s="46" t="str">
        <f aca="false">IF($B257="","",IF($L257&lt;&gt;"청산",N(W256),IF($P257&lt;0,N(W256)+1,0)))</f>
        <v/>
      </c>
    </row>
    <row r="258" customFormat="false" ht="15" hidden="false" customHeight="false" outlineLevel="0" collapsed="false">
      <c r="A258" s="32" t="str">
        <f aca="false">IF($B258="","",ROW()-5)</f>
        <v/>
      </c>
      <c r="B258" s="48"/>
      <c r="C258" s="49"/>
      <c r="D258" s="50"/>
      <c r="E258" s="51"/>
      <c r="F258" s="52"/>
      <c r="G258" s="53"/>
      <c r="H258" s="50"/>
      <c r="I258" s="51"/>
      <c r="J258" s="53"/>
      <c r="K258" s="53"/>
      <c r="L258" s="39" t="str">
        <f aca="false">IF($B258="","",IF($H258="","보유중","청산"))</f>
        <v/>
      </c>
      <c r="M258" s="40" t="str">
        <f aca="false">IF($B258="","",$E258*$F258)</f>
        <v/>
      </c>
      <c r="N258" s="40" t="str">
        <f aca="false">IF($L258="청산",$I258*$F258,"")</f>
        <v/>
      </c>
      <c r="O258" s="40" t="str">
        <f aca="false">IF($B258="","",$G258+$J258+$K258)</f>
        <v/>
      </c>
      <c r="P258" s="41" t="str">
        <f aca="false">IF($L258="청산",$N258-$M258-$O258,"")</f>
        <v/>
      </c>
      <c r="Q258" s="42" t="str">
        <f aca="false">IF($L258="청산",IF($M258=0,"",$P258/$M258),"")</f>
        <v/>
      </c>
      <c r="R258" s="43" t="str">
        <f aca="true">IF($B258="","",IF($L258="청산",$H258-$D258,IF($D258="","",TODAY()-$D258)))</f>
        <v/>
      </c>
      <c r="S258" s="44" t="str">
        <f aca="false">IF($L258="청산",DATE(YEAR($H258),MONTH($H258),1),"")</f>
        <v/>
      </c>
      <c r="T258" s="48"/>
      <c r="U258" s="49"/>
      <c r="V258" s="46" t="str">
        <f aca="false">IF($B258="","",IF($L258&lt;&gt;"청산",N(V257),IF($P258&gt;0,N(V257)+1,0)))</f>
        <v/>
      </c>
      <c r="W258" s="46" t="str">
        <f aca="false">IF($B258="","",IF($L258&lt;&gt;"청산",N(W257),IF($P258&lt;0,N(W257)+1,0)))</f>
        <v/>
      </c>
    </row>
    <row r="259" customFormat="false" ht="15" hidden="false" customHeight="false" outlineLevel="0" collapsed="false">
      <c r="A259" s="32" t="str">
        <f aca="false">IF($B259="","",ROW()-5)</f>
        <v/>
      </c>
      <c r="B259" s="48"/>
      <c r="C259" s="49"/>
      <c r="D259" s="50"/>
      <c r="E259" s="51"/>
      <c r="F259" s="52"/>
      <c r="G259" s="53"/>
      <c r="H259" s="50"/>
      <c r="I259" s="51"/>
      <c r="J259" s="53"/>
      <c r="K259" s="53"/>
      <c r="L259" s="39" t="str">
        <f aca="false">IF($B259="","",IF($H259="","보유중","청산"))</f>
        <v/>
      </c>
      <c r="M259" s="40" t="str">
        <f aca="false">IF($B259="","",$E259*$F259)</f>
        <v/>
      </c>
      <c r="N259" s="40" t="str">
        <f aca="false">IF($L259="청산",$I259*$F259,"")</f>
        <v/>
      </c>
      <c r="O259" s="40" t="str">
        <f aca="false">IF($B259="","",$G259+$J259+$K259)</f>
        <v/>
      </c>
      <c r="P259" s="41" t="str">
        <f aca="false">IF($L259="청산",$N259-$M259-$O259,"")</f>
        <v/>
      </c>
      <c r="Q259" s="42" t="str">
        <f aca="false">IF($L259="청산",IF($M259=0,"",$P259/$M259),"")</f>
        <v/>
      </c>
      <c r="R259" s="43" t="str">
        <f aca="true">IF($B259="","",IF($L259="청산",$H259-$D259,IF($D259="","",TODAY()-$D259)))</f>
        <v/>
      </c>
      <c r="S259" s="44" t="str">
        <f aca="false">IF($L259="청산",DATE(YEAR($H259),MONTH($H259),1),"")</f>
        <v/>
      </c>
      <c r="T259" s="48"/>
      <c r="U259" s="49"/>
      <c r="V259" s="46" t="str">
        <f aca="false">IF($B259="","",IF($L259&lt;&gt;"청산",N(V258),IF($P259&gt;0,N(V258)+1,0)))</f>
        <v/>
      </c>
      <c r="W259" s="46" t="str">
        <f aca="false">IF($B259="","",IF($L259&lt;&gt;"청산",N(W258),IF($P259&lt;0,N(W258)+1,0)))</f>
        <v/>
      </c>
    </row>
    <row r="260" customFormat="false" ht="15" hidden="false" customHeight="false" outlineLevel="0" collapsed="false">
      <c r="A260" s="32" t="str">
        <f aca="false">IF($B260="","",ROW()-5)</f>
        <v/>
      </c>
      <c r="B260" s="48"/>
      <c r="C260" s="49"/>
      <c r="D260" s="50"/>
      <c r="E260" s="51"/>
      <c r="F260" s="52"/>
      <c r="G260" s="53"/>
      <c r="H260" s="50"/>
      <c r="I260" s="51"/>
      <c r="J260" s="53"/>
      <c r="K260" s="53"/>
      <c r="L260" s="39" t="str">
        <f aca="false">IF($B260="","",IF($H260="","보유중","청산"))</f>
        <v/>
      </c>
      <c r="M260" s="40" t="str">
        <f aca="false">IF($B260="","",$E260*$F260)</f>
        <v/>
      </c>
      <c r="N260" s="40" t="str">
        <f aca="false">IF($L260="청산",$I260*$F260,"")</f>
        <v/>
      </c>
      <c r="O260" s="40" t="str">
        <f aca="false">IF($B260="","",$G260+$J260+$K260)</f>
        <v/>
      </c>
      <c r="P260" s="41" t="str">
        <f aca="false">IF($L260="청산",$N260-$M260-$O260,"")</f>
        <v/>
      </c>
      <c r="Q260" s="42" t="str">
        <f aca="false">IF($L260="청산",IF($M260=0,"",$P260/$M260),"")</f>
        <v/>
      </c>
      <c r="R260" s="43" t="str">
        <f aca="true">IF($B260="","",IF($L260="청산",$H260-$D260,IF($D260="","",TODAY()-$D260)))</f>
        <v/>
      </c>
      <c r="S260" s="44" t="str">
        <f aca="false">IF($L260="청산",DATE(YEAR($H260),MONTH($H260),1),"")</f>
        <v/>
      </c>
      <c r="T260" s="48"/>
      <c r="U260" s="49"/>
      <c r="V260" s="46" t="str">
        <f aca="false">IF($B260="","",IF($L260&lt;&gt;"청산",N(V259),IF($P260&gt;0,N(V259)+1,0)))</f>
        <v/>
      </c>
      <c r="W260" s="46" t="str">
        <f aca="false">IF($B260="","",IF($L260&lt;&gt;"청산",N(W259),IF($P260&lt;0,N(W259)+1,0)))</f>
        <v/>
      </c>
    </row>
    <row r="261" customFormat="false" ht="15" hidden="false" customHeight="false" outlineLevel="0" collapsed="false">
      <c r="A261" s="32" t="str">
        <f aca="false">IF($B261="","",ROW()-5)</f>
        <v/>
      </c>
      <c r="B261" s="48"/>
      <c r="C261" s="49"/>
      <c r="D261" s="50"/>
      <c r="E261" s="51"/>
      <c r="F261" s="52"/>
      <c r="G261" s="53"/>
      <c r="H261" s="50"/>
      <c r="I261" s="51"/>
      <c r="J261" s="53"/>
      <c r="K261" s="53"/>
      <c r="L261" s="39" t="str">
        <f aca="false">IF($B261="","",IF($H261="","보유중","청산"))</f>
        <v/>
      </c>
      <c r="M261" s="40" t="str">
        <f aca="false">IF($B261="","",$E261*$F261)</f>
        <v/>
      </c>
      <c r="N261" s="40" t="str">
        <f aca="false">IF($L261="청산",$I261*$F261,"")</f>
        <v/>
      </c>
      <c r="O261" s="40" t="str">
        <f aca="false">IF($B261="","",$G261+$J261+$K261)</f>
        <v/>
      </c>
      <c r="P261" s="41" t="str">
        <f aca="false">IF($L261="청산",$N261-$M261-$O261,"")</f>
        <v/>
      </c>
      <c r="Q261" s="42" t="str">
        <f aca="false">IF($L261="청산",IF($M261=0,"",$P261/$M261),"")</f>
        <v/>
      </c>
      <c r="R261" s="43" t="str">
        <f aca="true">IF($B261="","",IF($L261="청산",$H261-$D261,IF($D261="","",TODAY()-$D261)))</f>
        <v/>
      </c>
      <c r="S261" s="44" t="str">
        <f aca="false">IF($L261="청산",DATE(YEAR($H261),MONTH($H261),1),"")</f>
        <v/>
      </c>
      <c r="T261" s="48"/>
      <c r="U261" s="49"/>
      <c r="V261" s="46" t="str">
        <f aca="false">IF($B261="","",IF($L261&lt;&gt;"청산",N(V260),IF($P261&gt;0,N(V260)+1,0)))</f>
        <v/>
      </c>
      <c r="W261" s="46" t="str">
        <f aca="false">IF($B261="","",IF($L261&lt;&gt;"청산",N(W260),IF($P261&lt;0,N(W260)+1,0)))</f>
        <v/>
      </c>
    </row>
    <row r="262" customFormat="false" ht="15" hidden="false" customHeight="false" outlineLevel="0" collapsed="false">
      <c r="A262" s="32" t="str">
        <f aca="false">IF($B262="","",ROW()-5)</f>
        <v/>
      </c>
      <c r="B262" s="48"/>
      <c r="C262" s="49"/>
      <c r="D262" s="50"/>
      <c r="E262" s="51"/>
      <c r="F262" s="52"/>
      <c r="G262" s="53"/>
      <c r="H262" s="50"/>
      <c r="I262" s="51"/>
      <c r="J262" s="53"/>
      <c r="K262" s="53"/>
      <c r="L262" s="39" t="str">
        <f aca="false">IF($B262="","",IF($H262="","보유중","청산"))</f>
        <v/>
      </c>
      <c r="M262" s="40" t="str">
        <f aca="false">IF($B262="","",$E262*$F262)</f>
        <v/>
      </c>
      <c r="N262" s="40" t="str">
        <f aca="false">IF($L262="청산",$I262*$F262,"")</f>
        <v/>
      </c>
      <c r="O262" s="40" t="str">
        <f aca="false">IF($B262="","",$G262+$J262+$K262)</f>
        <v/>
      </c>
      <c r="P262" s="41" t="str">
        <f aca="false">IF($L262="청산",$N262-$M262-$O262,"")</f>
        <v/>
      </c>
      <c r="Q262" s="42" t="str">
        <f aca="false">IF($L262="청산",IF($M262=0,"",$P262/$M262),"")</f>
        <v/>
      </c>
      <c r="R262" s="43" t="str">
        <f aca="true">IF($B262="","",IF($L262="청산",$H262-$D262,IF($D262="","",TODAY()-$D262)))</f>
        <v/>
      </c>
      <c r="S262" s="44" t="str">
        <f aca="false">IF($L262="청산",DATE(YEAR($H262),MONTH($H262),1),"")</f>
        <v/>
      </c>
      <c r="T262" s="48"/>
      <c r="U262" s="49"/>
      <c r="V262" s="46" t="str">
        <f aca="false">IF($B262="","",IF($L262&lt;&gt;"청산",N(V261),IF($P262&gt;0,N(V261)+1,0)))</f>
        <v/>
      </c>
      <c r="W262" s="46" t="str">
        <f aca="false">IF($B262="","",IF($L262&lt;&gt;"청산",N(W261),IF($P262&lt;0,N(W261)+1,0)))</f>
        <v/>
      </c>
    </row>
    <row r="263" customFormat="false" ht="15" hidden="false" customHeight="false" outlineLevel="0" collapsed="false">
      <c r="A263" s="32" t="str">
        <f aca="false">IF($B263="","",ROW()-5)</f>
        <v/>
      </c>
      <c r="B263" s="48"/>
      <c r="C263" s="49"/>
      <c r="D263" s="50"/>
      <c r="E263" s="51"/>
      <c r="F263" s="52"/>
      <c r="G263" s="53"/>
      <c r="H263" s="50"/>
      <c r="I263" s="51"/>
      <c r="J263" s="53"/>
      <c r="K263" s="53"/>
      <c r="L263" s="39" t="str">
        <f aca="false">IF($B263="","",IF($H263="","보유중","청산"))</f>
        <v/>
      </c>
      <c r="M263" s="40" t="str">
        <f aca="false">IF($B263="","",$E263*$F263)</f>
        <v/>
      </c>
      <c r="N263" s="40" t="str">
        <f aca="false">IF($L263="청산",$I263*$F263,"")</f>
        <v/>
      </c>
      <c r="O263" s="40" t="str">
        <f aca="false">IF($B263="","",$G263+$J263+$K263)</f>
        <v/>
      </c>
      <c r="P263" s="41" t="str">
        <f aca="false">IF($L263="청산",$N263-$M263-$O263,"")</f>
        <v/>
      </c>
      <c r="Q263" s="42" t="str">
        <f aca="false">IF($L263="청산",IF($M263=0,"",$P263/$M263),"")</f>
        <v/>
      </c>
      <c r="R263" s="43" t="str">
        <f aca="true">IF($B263="","",IF($L263="청산",$H263-$D263,IF($D263="","",TODAY()-$D263)))</f>
        <v/>
      </c>
      <c r="S263" s="44" t="str">
        <f aca="false">IF($L263="청산",DATE(YEAR($H263),MONTH($H263),1),"")</f>
        <v/>
      </c>
      <c r="T263" s="48"/>
      <c r="U263" s="49"/>
      <c r="V263" s="46" t="str">
        <f aca="false">IF($B263="","",IF($L263&lt;&gt;"청산",N(V262),IF($P263&gt;0,N(V262)+1,0)))</f>
        <v/>
      </c>
      <c r="W263" s="46" t="str">
        <f aca="false">IF($B263="","",IF($L263&lt;&gt;"청산",N(W262),IF($P263&lt;0,N(W262)+1,0)))</f>
        <v/>
      </c>
    </row>
    <row r="264" customFormat="false" ht="15" hidden="false" customHeight="false" outlineLevel="0" collapsed="false">
      <c r="A264" s="32" t="str">
        <f aca="false">IF($B264="","",ROW()-5)</f>
        <v/>
      </c>
      <c r="B264" s="48"/>
      <c r="C264" s="49"/>
      <c r="D264" s="50"/>
      <c r="E264" s="51"/>
      <c r="F264" s="52"/>
      <c r="G264" s="53"/>
      <c r="H264" s="50"/>
      <c r="I264" s="51"/>
      <c r="J264" s="53"/>
      <c r="K264" s="53"/>
      <c r="L264" s="39" t="str">
        <f aca="false">IF($B264="","",IF($H264="","보유중","청산"))</f>
        <v/>
      </c>
      <c r="M264" s="40" t="str">
        <f aca="false">IF($B264="","",$E264*$F264)</f>
        <v/>
      </c>
      <c r="N264" s="40" t="str">
        <f aca="false">IF($L264="청산",$I264*$F264,"")</f>
        <v/>
      </c>
      <c r="O264" s="40" t="str">
        <f aca="false">IF($B264="","",$G264+$J264+$K264)</f>
        <v/>
      </c>
      <c r="P264" s="41" t="str">
        <f aca="false">IF($L264="청산",$N264-$M264-$O264,"")</f>
        <v/>
      </c>
      <c r="Q264" s="42" t="str">
        <f aca="false">IF($L264="청산",IF($M264=0,"",$P264/$M264),"")</f>
        <v/>
      </c>
      <c r="R264" s="43" t="str">
        <f aca="true">IF($B264="","",IF($L264="청산",$H264-$D264,IF($D264="","",TODAY()-$D264)))</f>
        <v/>
      </c>
      <c r="S264" s="44" t="str">
        <f aca="false">IF($L264="청산",DATE(YEAR($H264),MONTH($H264),1),"")</f>
        <v/>
      </c>
      <c r="T264" s="48"/>
      <c r="U264" s="49"/>
      <c r="V264" s="46" t="str">
        <f aca="false">IF($B264="","",IF($L264&lt;&gt;"청산",N(V263),IF($P264&gt;0,N(V263)+1,0)))</f>
        <v/>
      </c>
      <c r="W264" s="46" t="str">
        <f aca="false">IF($B264="","",IF($L264&lt;&gt;"청산",N(W263),IF($P264&lt;0,N(W263)+1,0)))</f>
        <v/>
      </c>
    </row>
    <row r="265" customFormat="false" ht="15" hidden="false" customHeight="false" outlineLevel="0" collapsed="false">
      <c r="A265" s="32" t="str">
        <f aca="false">IF($B265="","",ROW()-5)</f>
        <v/>
      </c>
      <c r="B265" s="48"/>
      <c r="C265" s="49"/>
      <c r="D265" s="50"/>
      <c r="E265" s="51"/>
      <c r="F265" s="52"/>
      <c r="G265" s="53"/>
      <c r="H265" s="50"/>
      <c r="I265" s="51"/>
      <c r="J265" s="53"/>
      <c r="K265" s="53"/>
      <c r="L265" s="39" t="str">
        <f aca="false">IF($B265="","",IF($H265="","보유중","청산"))</f>
        <v/>
      </c>
      <c r="M265" s="40" t="str">
        <f aca="false">IF($B265="","",$E265*$F265)</f>
        <v/>
      </c>
      <c r="N265" s="40" t="str">
        <f aca="false">IF($L265="청산",$I265*$F265,"")</f>
        <v/>
      </c>
      <c r="O265" s="40" t="str">
        <f aca="false">IF($B265="","",$G265+$J265+$K265)</f>
        <v/>
      </c>
      <c r="P265" s="41" t="str">
        <f aca="false">IF($L265="청산",$N265-$M265-$O265,"")</f>
        <v/>
      </c>
      <c r="Q265" s="42" t="str">
        <f aca="false">IF($L265="청산",IF($M265=0,"",$P265/$M265),"")</f>
        <v/>
      </c>
      <c r="R265" s="43" t="str">
        <f aca="true">IF($B265="","",IF($L265="청산",$H265-$D265,IF($D265="","",TODAY()-$D265)))</f>
        <v/>
      </c>
      <c r="S265" s="44" t="str">
        <f aca="false">IF($L265="청산",DATE(YEAR($H265),MONTH($H265),1),"")</f>
        <v/>
      </c>
      <c r="T265" s="48"/>
      <c r="U265" s="49"/>
      <c r="V265" s="46" t="str">
        <f aca="false">IF($B265="","",IF($L265&lt;&gt;"청산",N(V264),IF($P265&gt;0,N(V264)+1,0)))</f>
        <v/>
      </c>
      <c r="W265" s="46" t="str">
        <f aca="false">IF($B265="","",IF($L265&lt;&gt;"청산",N(W264),IF($P265&lt;0,N(W264)+1,0)))</f>
        <v/>
      </c>
    </row>
    <row r="266" customFormat="false" ht="15" hidden="false" customHeight="false" outlineLevel="0" collapsed="false">
      <c r="A266" s="32" t="str">
        <f aca="false">IF($B266="","",ROW()-5)</f>
        <v/>
      </c>
      <c r="B266" s="48"/>
      <c r="C266" s="49"/>
      <c r="D266" s="50"/>
      <c r="E266" s="51"/>
      <c r="F266" s="52"/>
      <c r="G266" s="53"/>
      <c r="H266" s="50"/>
      <c r="I266" s="51"/>
      <c r="J266" s="53"/>
      <c r="K266" s="53"/>
      <c r="L266" s="39" t="str">
        <f aca="false">IF($B266="","",IF($H266="","보유중","청산"))</f>
        <v/>
      </c>
      <c r="M266" s="40" t="str">
        <f aca="false">IF($B266="","",$E266*$F266)</f>
        <v/>
      </c>
      <c r="N266" s="40" t="str">
        <f aca="false">IF($L266="청산",$I266*$F266,"")</f>
        <v/>
      </c>
      <c r="O266" s="40" t="str">
        <f aca="false">IF($B266="","",$G266+$J266+$K266)</f>
        <v/>
      </c>
      <c r="P266" s="41" t="str">
        <f aca="false">IF($L266="청산",$N266-$M266-$O266,"")</f>
        <v/>
      </c>
      <c r="Q266" s="42" t="str">
        <f aca="false">IF($L266="청산",IF($M266=0,"",$P266/$M266),"")</f>
        <v/>
      </c>
      <c r="R266" s="43" t="str">
        <f aca="true">IF($B266="","",IF($L266="청산",$H266-$D266,IF($D266="","",TODAY()-$D266)))</f>
        <v/>
      </c>
      <c r="S266" s="44" t="str">
        <f aca="false">IF($L266="청산",DATE(YEAR($H266),MONTH($H266),1),"")</f>
        <v/>
      </c>
      <c r="T266" s="48"/>
      <c r="U266" s="49"/>
      <c r="V266" s="46" t="str">
        <f aca="false">IF($B266="","",IF($L266&lt;&gt;"청산",N(V265),IF($P266&gt;0,N(V265)+1,0)))</f>
        <v/>
      </c>
      <c r="W266" s="46" t="str">
        <f aca="false">IF($B266="","",IF($L266&lt;&gt;"청산",N(W265),IF($P266&lt;0,N(W265)+1,0)))</f>
        <v/>
      </c>
    </row>
    <row r="267" customFormat="false" ht="15" hidden="false" customHeight="false" outlineLevel="0" collapsed="false">
      <c r="A267" s="32" t="str">
        <f aca="false">IF($B267="","",ROW()-5)</f>
        <v/>
      </c>
      <c r="B267" s="48"/>
      <c r="C267" s="49"/>
      <c r="D267" s="50"/>
      <c r="E267" s="51"/>
      <c r="F267" s="52"/>
      <c r="G267" s="53"/>
      <c r="H267" s="50"/>
      <c r="I267" s="51"/>
      <c r="J267" s="53"/>
      <c r="K267" s="53"/>
      <c r="L267" s="39" t="str">
        <f aca="false">IF($B267="","",IF($H267="","보유중","청산"))</f>
        <v/>
      </c>
      <c r="M267" s="40" t="str">
        <f aca="false">IF($B267="","",$E267*$F267)</f>
        <v/>
      </c>
      <c r="N267" s="40" t="str">
        <f aca="false">IF($L267="청산",$I267*$F267,"")</f>
        <v/>
      </c>
      <c r="O267" s="40" t="str">
        <f aca="false">IF($B267="","",$G267+$J267+$K267)</f>
        <v/>
      </c>
      <c r="P267" s="41" t="str">
        <f aca="false">IF($L267="청산",$N267-$M267-$O267,"")</f>
        <v/>
      </c>
      <c r="Q267" s="42" t="str">
        <f aca="false">IF($L267="청산",IF($M267=0,"",$P267/$M267),"")</f>
        <v/>
      </c>
      <c r="R267" s="43" t="str">
        <f aca="true">IF($B267="","",IF($L267="청산",$H267-$D267,IF($D267="","",TODAY()-$D267)))</f>
        <v/>
      </c>
      <c r="S267" s="44" t="str">
        <f aca="false">IF($L267="청산",DATE(YEAR($H267),MONTH($H267),1),"")</f>
        <v/>
      </c>
      <c r="T267" s="48"/>
      <c r="U267" s="49"/>
      <c r="V267" s="46" t="str">
        <f aca="false">IF($B267="","",IF($L267&lt;&gt;"청산",N(V266),IF($P267&gt;0,N(V266)+1,0)))</f>
        <v/>
      </c>
      <c r="W267" s="46" t="str">
        <f aca="false">IF($B267="","",IF($L267&lt;&gt;"청산",N(W266),IF($P267&lt;0,N(W266)+1,0)))</f>
        <v/>
      </c>
    </row>
    <row r="268" customFormat="false" ht="15" hidden="false" customHeight="false" outlineLevel="0" collapsed="false">
      <c r="A268" s="32" t="str">
        <f aca="false">IF($B268="","",ROW()-5)</f>
        <v/>
      </c>
      <c r="B268" s="48"/>
      <c r="C268" s="49"/>
      <c r="D268" s="50"/>
      <c r="E268" s="51"/>
      <c r="F268" s="52"/>
      <c r="G268" s="53"/>
      <c r="H268" s="50"/>
      <c r="I268" s="51"/>
      <c r="J268" s="53"/>
      <c r="K268" s="53"/>
      <c r="L268" s="39" t="str">
        <f aca="false">IF($B268="","",IF($H268="","보유중","청산"))</f>
        <v/>
      </c>
      <c r="M268" s="40" t="str">
        <f aca="false">IF($B268="","",$E268*$F268)</f>
        <v/>
      </c>
      <c r="N268" s="40" t="str">
        <f aca="false">IF($L268="청산",$I268*$F268,"")</f>
        <v/>
      </c>
      <c r="O268" s="40" t="str">
        <f aca="false">IF($B268="","",$G268+$J268+$K268)</f>
        <v/>
      </c>
      <c r="P268" s="41" t="str">
        <f aca="false">IF($L268="청산",$N268-$M268-$O268,"")</f>
        <v/>
      </c>
      <c r="Q268" s="42" t="str">
        <f aca="false">IF($L268="청산",IF($M268=0,"",$P268/$M268),"")</f>
        <v/>
      </c>
      <c r="R268" s="43" t="str">
        <f aca="true">IF($B268="","",IF($L268="청산",$H268-$D268,IF($D268="","",TODAY()-$D268)))</f>
        <v/>
      </c>
      <c r="S268" s="44" t="str">
        <f aca="false">IF($L268="청산",DATE(YEAR($H268),MONTH($H268),1),"")</f>
        <v/>
      </c>
      <c r="T268" s="48"/>
      <c r="U268" s="49"/>
      <c r="V268" s="46" t="str">
        <f aca="false">IF($B268="","",IF($L268&lt;&gt;"청산",N(V267),IF($P268&gt;0,N(V267)+1,0)))</f>
        <v/>
      </c>
      <c r="W268" s="46" t="str">
        <f aca="false">IF($B268="","",IF($L268&lt;&gt;"청산",N(W267),IF($P268&lt;0,N(W267)+1,0)))</f>
        <v/>
      </c>
    </row>
    <row r="269" customFormat="false" ht="15" hidden="false" customHeight="false" outlineLevel="0" collapsed="false">
      <c r="A269" s="32" t="str">
        <f aca="false">IF($B269="","",ROW()-5)</f>
        <v/>
      </c>
      <c r="B269" s="48"/>
      <c r="C269" s="49"/>
      <c r="D269" s="50"/>
      <c r="E269" s="51"/>
      <c r="F269" s="52"/>
      <c r="G269" s="53"/>
      <c r="H269" s="50"/>
      <c r="I269" s="51"/>
      <c r="J269" s="53"/>
      <c r="K269" s="53"/>
      <c r="L269" s="39" t="str">
        <f aca="false">IF($B269="","",IF($H269="","보유중","청산"))</f>
        <v/>
      </c>
      <c r="M269" s="40" t="str">
        <f aca="false">IF($B269="","",$E269*$F269)</f>
        <v/>
      </c>
      <c r="N269" s="40" t="str">
        <f aca="false">IF($L269="청산",$I269*$F269,"")</f>
        <v/>
      </c>
      <c r="O269" s="40" t="str">
        <f aca="false">IF($B269="","",$G269+$J269+$K269)</f>
        <v/>
      </c>
      <c r="P269" s="41" t="str">
        <f aca="false">IF($L269="청산",$N269-$M269-$O269,"")</f>
        <v/>
      </c>
      <c r="Q269" s="42" t="str">
        <f aca="false">IF($L269="청산",IF($M269=0,"",$P269/$M269),"")</f>
        <v/>
      </c>
      <c r="R269" s="43" t="str">
        <f aca="true">IF($B269="","",IF($L269="청산",$H269-$D269,IF($D269="","",TODAY()-$D269)))</f>
        <v/>
      </c>
      <c r="S269" s="44" t="str">
        <f aca="false">IF($L269="청산",DATE(YEAR($H269),MONTH($H269),1),"")</f>
        <v/>
      </c>
      <c r="T269" s="48"/>
      <c r="U269" s="49"/>
      <c r="V269" s="46" t="str">
        <f aca="false">IF($B269="","",IF($L269&lt;&gt;"청산",N(V268),IF($P269&gt;0,N(V268)+1,0)))</f>
        <v/>
      </c>
      <c r="W269" s="46" t="str">
        <f aca="false">IF($B269="","",IF($L269&lt;&gt;"청산",N(W268),IF($P269&lt;0,N(W268)+1,0)))</f>
        <v/>
      </c>
    </row>
    <row r="270" customFormat="false" ht="15" hidden="false" customHeight="false" outlineLevel="0" collapsed="false">
      <c r="A270" s="32" t="str">
        <f aca="false">IF($B270="","",ROW()-5)</f>
        <v/>
      </c>
      <c r="B270" s="48"/>
      <c r="C270" s="49"/>
      <c r="D270" s="50"/>
      <c r="E270" s="51"/>
      <c r="F270" s="52"/>
      <c r="G270" s="53"/>
      <c r="H270" s="50"/>
      <c r="I270" s="51"/>
      <c r="J270" s="53"/>
      <c r="K270" s="53"/>
      <c r="L270" s="39" t="str">
        <f aca="false">IF($B270="","",IF($H270="","보유중","청산"))</f>
        <v/>
      </c>
      <c r="M270" s="40" t="str">
        <f aca="false">IF($B270="","",$E270*$F270)</f>
        <v/>
      </c>
      <c r="N270" s="40" t="str">
        <f aca="false">IF($L270="청산",$I270*$F270,"")</f>
        <v/>
      </c>
      <c r="O270" s="40" t="str">
        <f aca="false">IF($B270="","",$G270+$J270+$K270)</f>
        <v/>
      </c>
      <c r="P270" s="41" t="str">
        <f aca="false">IF($L270="청산",$N270-$M270-$O270,"")</f>
        <v/>
      </c>
      <c r="Q270" s="42" t="str">
        <f aca="false">IF($L270="청산",IF($M270=0,"",$P270/$M270),"")</f>
        <v/>
      </c>
      <c r="R270" s="43" t="str">
        <f aca="true">IF($B270="","",IF($L270="청산",$H270-$D270,IF($D270="","",TODAY()-$D270)))</f>
        <v/>
      </c>
      <c r="S270" s="44" t="str">
        <f aca="false">IF($L270="청산",DATE(YEAR($H270),MONTH($H270),1),"")</f>
        <v/>
      </c>
      <c r="T270" s="48"/>
      <c r="U270" s="49"/>
      <c r="V270" s="46" t="str">
        <f aca="false">IF($B270="","",IF($L270&lt;&gt;"청산",N(V269),IF($P270&gt;0,N(V269)+1,0)))</f>
        <v/>
      </c>
      <c r="W270" s="46" t="str">
        <f aca="false">IF($B270="","",IF($L270&lt;&gt;"청산",N(W269),IF($P270&lt;0,N(W269)+1,0)))</f>
        <v/>
      </c>
    </row>
    <row r="271" customFormat="false" ht="15" hidden="false" customHeight="false" outlineLevel="0" collapsed="false">
      <c r="A271" s="32" t="str">
        <f aca="false">IF($B271="","",ROW()-5)</f>
        <v/>
      </c>
      <c r="B271" s="48"/>
      <c r="C271" s="49"/>
      <c r="D271" s="50"/>
      <c r="E271" s="51"/>
      <c r="F271" s="52"/>
      <c r="G271" s="53"/>
      <c r="H271" s="50"/>
      <c r="I271" s="51"/>
      <c r="J271" s="53"/>
      <c r="K271" s="53"/>
      <c r="L271" s="39" t="str">
        <f aca="false">IF($B271="","",IF($H271="","보유중","청산"))</f>
        <v/>
      </c>
      <c r="M271" s="40" t="str">
        <f aca="false">IF($B271="","",$E271*$F271)</f>
        <v/>
      </c>
      <c r="N271" s="40" t="str">
        <f aca="false">IF($L271="청산",$I271*$F271,"")</f>
        <v/>
      </c>
      <c r="O271" s="40" t="str">
        <f aca="false">IF($B271="","",$G271+$J271+$K271)</f>
        <v/>
      </c>
      <c r="P271" s="41" t="str">
        <f aca="false">IF($L271="청산",$N271-$M271-$O271,"")</f>
        <v/>
      </c>
      <c r="Q271" s="42" t="str">
        <f aca="false">IF($L271="청산",IF($M271=0,"",$P271/$M271),"")</f>
        <v/>
      </c>
      <c r="R271" s="43" t="str">
        <f aca="true">IF($B271="","",IF($L271="청산",$H271-$D271,IF($D271="","",TODAY()-$D271)))</f>
        <v/>
      </c>
      <c r="S271" s="44" t="str">
        <f aca="false">IF($L271="청산",DATE(YEAR($H271),MONTH($H271),1),"")</f>
        <v/>
      </c>
      <c r="T271" s="48"/>
      <c r="U271" s="49"/>
      <c r="V271" s="46" t="str">
        <f aca="false">IF($B271="","",IF($L271&lt;&gt;"청산",N(V270),IF($P271&gt;0,N(V270)+1,0)))</f>
        <v/>
      </c>
      <c r="W271" s="46" t="str">
        <f aca="false">IF($B271="","",IF($L271&lt;&gt;"청산",N(W270),IF($P271&lt;0,N(W270)+1,0)))</f>
        <v/>
      </c>
    </row>
    <row r="272" customFormat="false" ht="15" hidden="false" customHeight="false" outlineLevel="0" collapsed="false">
      <c r="A272" s="32" t="str">
        <f aca="false">IF($B272="","",ROW()-5)</f>
        <v/>
      </c>
      <c r="B272" s="48"/>
      <c r="C272" s="49"/>
      <c r="D272" s="50"/>
      <c r="E272" s="51"/>
      <c r="F272" s="52"/>
      <c r="G272" s="53"/>
      <c r="H272" s="50"/>
      <c r="I272" s="51"/>
      <c r="J272" s="53"/>
      <c r="K272" s="53"/>
      <c r="L272" s="39" t="str">
        <f aca="false">IF($B272="","",IF($H272="","보유중","청산"))</f>
        <v/>
      </c>
      <c r="M272" s="40" t="str">
        <f aca="false">IF($B272="","",$E272*$F272)</f>
        <v/>
      </c>
      <c r="N272" s="40" t="str">
        <f aca="false">IF($L272="청산",$I272*$F272,"")</f>
        <v/>
      </c>
      <c r="O272" s="40" t="str">
        <f aca="false">IF($B272="","",$G272+$J272+$K272)</f>
        <v/>
      </c>
      <c r="P272" s="41" t="str">
        <f aca="false">IF($L272="청산",$N272-$M272-$O272,"")</f>
        <v/>
      </c>
      <c r="Q272" s="42" t="str">
        <f aca="false">IF($L272="청산",IF($M272=0,"",$P272/$M272),"")</f>
        <v/>
      </c>
      <c r="R272" s="43" t="str">
        <f aca="true">IF($B272="","",IF($L272="청산",$H272-$D272,IF($D272="","",TODAY()-$D272)))</f>
        <v/>
      </c>
      <c r="S272" s="44" t="str">
        <f aca="false">IF($L272="청산",DATE(YEAR($H272),MONTH($H272),1),"")</f>
        <v/>
      </c>
      <c r="T272" s="48"/>
      <c r="U272" s="49"/>
      <c r="V272" s="46" t="str">
        <f aca="false">IF($B272="","",IF($L272&lt;&gt;"청산",N(V271),IF($P272&gt;0,N(V271)+1,0)))</f>
        <v/>
      </c>
      <c r="W272" s="46" t="str">
        <f aca="false">IF($B272="","",IF($L272&lt;&gt;"청산",N(W271),IF($P272&lt;0,N(W271)+1,0)))</f>
        <v/>
      </c>
    </row>
    <row r="273" customFormat="false" ht="15" hidden="false" customHeight="false" outlineLevel="0" collapsed="false">
      <c r="A273" s="32" t="str">
        <f aca="false">IF($B273="","",ROW()-5)</f>
        <v/>
      </c>
      <c r="B273" s="48"/>
      <c r="C273" s="49"/>
      <c r="D273" s="50"/>
      <c r="E273" s="51"/>
      <c r="F273" s="52"/>
      <c r="G273" s="53"/>
      <c r="H273" s="50"/>
      <c r="I273" s="51"/>
      <c r="J273" s="53"/>
      <c r="K273" s="53"/>
      <c r="L273" s="39" t="str">
        <f aca="false">IF($B273="","",IF($H273="","보유중","청산"))</f>
        <v/>
      </c>
      <c r="M273" s="40" t="str">
        <f aca="false">IF($B273="","",$E273*$F273)</f>
        <v/>
      </c>
      <c r="N273" s="40" t="str">
        <f aca="false">IF($L273="청산",$I273*$F273,"")</f>
        <v/>
      </c>
      <c r="O273" s="40" t="str">
        <f aca="false">IF($B273="","",$G273+$J273+$K273)</f>
        <v/>
      </c>
      <c r="P273" s="41" t="str">
        <f aca="false">IF($L273="청산",$N273-$M273-$O273,"")</f>
        <v/>
      </c>
      <c r="Q273" s="42" t="str">
        <f aca="false">IF($L273="청산",IF($M273=0,"",$P273/$M273),"")</f>
        <v/>
      </c>
      <c r="R273" s="43" t="str">
        <f aca="true">IF($B273="","",IF($L273="청산",$H273-$D273,IF($D273="","",TODAY()-$D273)))</f>
        <v/>
      </c>
      <c r="S273" s="44" t="str">
        <f aca="false">IF($L273="청산",DATE(YEAR($H273),MONTH($H273),1),"")</f>
        <v/>
      </c>
      <c r="T273" s="48"/>
      <c r="U273" s="49"/>
      <c r="V273" s="46" t="str">
        <f aca="false">IF($B273="","",IF($L273&lt;&gt;"청산",N(V272),IF($P273&gt;0,N(V272)+1,0)))</f>
        <v/>
      </c>
      <c r="W273" s="46" t="str">
        <f aca="false">IF($B273="","",IF($L273&lt;&gt;"청산",N(W272),IF($P273&lt;0,N(W272)+1,0)))</f>
        <v/>
      </c>
    </row>
    <row r="274" customFormat="false" ht="15" hidden="false" customHeight="false" outlineLevel="0" collapsed="false">
      <c r="A274" s="32" t="str">
        <f aca="false">IF($B274="","",ROW()-5)</f>
        <v/>
      </c>
      <c r="B274" s="48"/>
      <c r="C274" s="49"/>
      <c r="D274" s="50"/>
      <c r="E274" s="51"/>
      <c r="F274" s="52"/>
      <c r="G274" s="53"/>
      <c r="H274" s="50"/>
      <c r="I274" s="51"/>
      <c r="J274" s="53"/>
      <c r="K274" s="53"/>
      <c r="L274" s="39" t="str">
        <f aca="false">IF($B274="","",IF($H274="","보유중","청산"))</f>
        <v/>
      </c>
      <c r="M274" s="40" t="str">
        <f aca="false">IF($B274="","",$E274*$F274)</f>
        <v/>
      </c>
      <c r="N274" s="40" t="str">
        <f aca="false">IF($L274="청산",$I274*$F274,"")</f>
        <v/>
      </c>
      <c r="O274" s="40" t="str">
        <f aca="false">IF($B274="","",$G274+$J274+$K274)</f>
        <v/>
      </c>
      <c r="P274" s="41" t="str">
        <f aca="false">IF($L274="청산",$N274-$M274-$O274,"")</f>
        <v/>
      </c>
      <c r="Q274" s="42" t="str">
        <f aca="false">IF($L274="청산",IF($M274=0,"",$P274/$M274),"")</f>
        <v/>
      </c>
      <c r="R274" s="43" t="str">
        <f aca="true">IF($B274="","",IF($L274="청산",$H274-$D274,IF($D274="","",TODAY()-$D274)))</f>
        <v/>
      </c>
      <c r="S274" s="44" t="str">
        <f aca="false">IF($L274="청산",DATE(YEAR($H274),MONTH($H274),1),"")</f>
        <v/>
      </c>
      <c r="T274" s="48"/>
      <c r="U274" s="49"/>
      <c r="V274" s="46" t="str">
        <f aca="false">IF($B274="","",IF($L274&lt;&gt;"청산",N(V273),IF($P274&gt;0,N(V273)+1,0)))</f>
        <v/>
      </c>
      <c r="W274" s="46" t="str">
        <f aca="false">IF($B274="","",IF($L274&lt;&gt;"청산",N(W273),IF($P274&lt;0,N(W273)+1,0)))</f>
        <v/>
      </c>
    </row>
    <row r="275" customFormat="false" ht="15" hidden="false" customHeight="false" outlineLevel="0" collapsed="false">
      <c r="A275" s="32" t="str">
        <f aca="false">IF($B275="","",ROW()-5)</f>
        <v/>
      </c>
      <c r="B275" s="48"/>
      <c r="C275" s="49"/>
      <c r="D275" s="50"/>
      <c r="E275" s="51"/>
      <c r="F275" s="52"/>
      <c r="G275" s="53"/>
      <c r="H275" s="50"/>
      <c r="I275" s="51"/>
      <c r="J275" s="53"/>
      <c r="K275" s="53"/>
      <c r="L275" s="39" t="str">
        <f aca="false">IF($B275="","",IF($H275="","보유중","청산"))</f>
        <v/>
      </c>
      <c r="M275" s="40" t="str">
        <f aca="false">IF($B275="","",$E275*$F275)</f>
        <v/>
      </c>
      <c r="N275" s="40" t="str">
        <f aca="false">IF($L275="청산",$I275*$F275,"")</f>
        <v/>
      </c>
      <c r="O275" s="40" t="str">
        <f aca="false">IF($B275="","",$G275+$J275+$K275)</f>
        <v/>
      </c>
      <c r="P275" s="41" t="str">
        <f aca="false">IF($L275="청산",$N275-$M275-$O275,"")</f>
        <v/>
      </c>
      <c r="Q275" s="42" t="str">
        <f aca="false">IF($L275="청산",IF($M275=0,"",$P275/$M275),"")</f>
        <v/>
      </c>
      <c r="R275" s="43" t="str">
        <f aca="true">IF($B275="","",IF($L275="청산",$H275-$D275,IF($D275="","",TODAY()-$D275)))</f>
        <v/>
      </c>
      <c r="S275" s="44" t="str">
        <f aca="false">IF($L275="청산",DATE(YEAR($H275),MONTH($H275),1),"")</f>
        <v/>
      </c>
      <c r="T275" s="48"/>
      <c r="U275" s="49"/>
      <c r="V275" s="46" t="str">
        <f aca="false">IF($B275="","",IF($L275&lt;&gt;"청산",N(V274),IF($P275&gt;0,N(V274)+1,0)))</f>
        <v/>
      </c>
      <c r="W275" s="46" t="str">
        <f aca="false">IF($B275="","",IF($L275&lt;&gt;"청산",N(W274),IF($P275&lt;0,N(W274)+1,0)))</f>
        <v/>
      </c>
    </row>
    <row r="276" customFormat="false" ht="15" hidden="false" customHeight="false" outlineLevel="0" collapsed="false">
      <c r="A276" s="32" t="str">
        <f aca="false">IF($B276="","",ROW()-5)</f>
        <v/>
      </c>
      <c r="B276" s="48"/>
      <c r="C276" s="49"/>
      <c r="D276" s="50"/>
      <c r="E276" s="51"/>
      <c r="F276" s="52"/>
      <c r="G276" s="53"/>
      <c r="H276" s="50"/>
      <c r="I276" s="51"/>
      <c r="J276" s="53"/>
      <c r="K276" s="53"/>
      <c r="L276" s="39" t="str">
        <f aca="false">IF($B276="","",IF($H276="","보유중","청산"))</f>
        <v/>
      </c>
      <c r="M276" s="40" t="str">
        <f aca="false">IF($B276="","",$E276*$F276)</f>
        <v/>
      </c>
      <c r="N276" s="40" t="str">
        <f aca="false">IF($L276="청산",$I276*$F276,"")</f>
        <v/>
      </c>
      <c r="O276" s="40" t="str">
        <f aca="false">IF($B276="","",$G276+$J276+$K276)</f>
        <v/>
      </c>
      <c r="P276" s="41" t="str">
        <f aca="false">IF($L276="청산",$N276-$M276-$O276,"")</f>
        <v/>
      </c>
      <c r="Q276" s="42" t="str">
        <f aca="false">IF($L276="청산",IF($M276=0,"",$P276/$M276),"")</f>
        <v/>
      </c>
      <c r="R276" s="43" t="str">
        <f aca="true">IF($B276="","",IF($L276="청산",$H276-$D276,IF($D276="","",TODAY()-$D276)))</f>
        <v/>
      </c>
      <c r="S276" s="44" t="str">
        <f aca="false">IF($L276="청산",DATE(YEAR($H276),MONTH($H276),1),"")</f>
        <v/>
      </c>
      <c r="T276" s="48"/>
      <c r="U276" s="49"/>
      <c r="V276" s="46" t="str">
        <f aca="false">IF($B276="","",IF($L276&lt;&gt;"청산",N(V275),IF($P276&gt;0,N(V275)+1,0)))</f>
        <v/>
      </c>
      <c r="W276" s="46" t="str">
        <f aca="false">IF($B276="","",IF($L276&lt;&gt;"청산",N(W275),IF($P276&lt;0,N(W275)+1,0)))</f>
        <v/>
      </c>
    </row>
    <row r="277" customFormat="false" ht="15" hidden="false" customHeight="false" outlineLevel="0" collapsed="false">
      <c r="A277" s="32" t="str">
        <f aca="false">IF($B277="","",ROW()-5)</f>
        <v/>
      </c>
      <c r="B277" s="48"/>
      <c r="C277" s="49"/>
      <c r="D277" s="50"/>
      <c r="E277" s="51"/>
      <c r="F277" s="52"/>
      <c r="G277" s="53"/>
      <c r="H277" s="50"/>
      <c r="I277" s="51"/>
      <c r="J277" s="53"/>
      <c r="K277" s="53"/>
      <c r="L277" s="39" t="str">
        <f aca="false">IF($B277="","",IF($H277="","보유중","청산"))</f>
        <v/>
      </c>
      <c r="M277" s="40" t="str">
        <f aca="false">IF($B277="","",$E277*$F277)</f>
        <v/>
      </c>
      <c r="N277" s="40" t="str">
        <f aca="false">IF($L277="청산",$I277*$F277,"")</f>
        <v/>
      </c>
      <c r="O277" s="40" t="str">
        <f aca="false">IF($B277="","",$G277+$J277+$K277)</f>
        <v/>
      </c>
      <c r="P277" s="41" t="str">
        <f aca="false">IF($L277="청산",$N277-$M277-$O277,"")</f>
        <v/>
      </c>
      <c r="Q277" s="42" t="str">
        <f aca="false">IF($L277="청산",IF($M277=0,"",$P277/$M277),"")</f>
        <v/>
      </c>
      <c r="R277" s="43" t="str">
        <f aca="true">IF($B277="","",IF($L277="청산",$H277-$D277,IF($D277="","",TODAY()-$D277)))</f>
        <v/>
      </c>
      <c r="S277" s="44" t="str">
        <f aca="false">IF($L277="청산",DATE(YEAR($H277),MONTH($H277),1),"")</f>
        <v/>
      </c>
      <c r="T277" s="48"/>
      <c r="U277" s="49"/>
      <c r="V277" s="46" t="str">
        <f aca="false">IF($B277="","",IF($L277&lt;&gt;"청산",N(V276),IF($P277&gt;0,N(V276)+1,0)))</f>
        <v/>
      </c>
      <c r="W277" s="46" t="str">
        <f aca="false">IF($B277="","",IF($L277&lt;&gt;"청산",N(W276),IF($P277&lt;0,N(W276)+1,0)))</f>
        <v/>
      </c>
    </row>
    <row r="278" customFormat="false" ht="15" hidden="false" customHeight="false" outlineLevel="0" collapsed="false">
      <c r="A278" s="32" t="str">
        <f aca="false">IF($B278="","",ROW()-5)</f>
        <v/>
      </c>
      <c r="B278" s="48"/>
      <c r="C278" s="49"/>
      <c r="D278" s="50"/>
      <c r="E278" s="51"/>
      <c r="F278" s="52"/>
      <c r="G278" s="53"/>
      <c r="H278" s="50"/>
      <c r="I278" s="51"/>
      <c r="J278" s="53"/>
      <c r="K278" s="53"/>
      <c r="L278" s="39" t="str">
        <f aca="false">IF($B278="","",IF($H278="","보유중","청산"))</f>
        <v/>
      </c>
      <c r="M278" s="40" t="str">
        <f aca="false">IF($B278="","",$E278*$F278)</f>
        <v/>
      </c>
      <c r="N278" s="40" t="str">
        <f aca="false">IF($L278="청산",$I278*$F278,"")</f>
        <v/>
      </c>
      <c r="O278" s="40" t="str">
        <f aca="false">IF($B278="","",$G278+$J278+$K278)</f>
        <v/>
      </c>
      <c r="P278" s="41" t="str">
        <f aca="false">IF($L278="청산",$N278-$M278-$O278,"")</f>
        <v/>
      </c>
      <c r="Q278" s="42" t="str">
        <f aca="false">IF($L278="청산",IF($M278=0,"",$P278/$M278),"")</f>
        <v/>
      </c>
      <c r="R278" s="43" t="str">
        <f aca="true">IF($B278="","",IF($L278="청산",$H278-$D278,IF($D278="","",TODAY()-$D278)))</f>
        <v/>
      </c>
      <c r="S278" s="44" t="str">
        <f aca="false">IF($L278="청산",DATE(YEAR($H278),MONTH($H278),1),"")</f>
        <v/>
      </c>
      <c r="T278" s="48"/>
      <c r="U278" s="49"/>
      <c r="V278" s="46" t="str">
        <f aca="false">IF($B278="","",IF($L278&lt;&gt;"청산",N(V277),IF($P278&gt;0,N(V277)+1,0)))</f>
        <v/>
      </c>
      <c r="W278" s="46" t="str">
        <f aca="false">IF($B278="","",IF($L278&lt;&gt;"청산",N(W277),IF($P278&lt;0,N(W277)+1,0)))</f>
        <v/>
      </c>
    </row>
    <row r="279" customFormat="false" ht="15" hidden="false" customHeight="false" outlineLevel="0" collapsed="false">
      <c r="A279" s="32" t="str">
        <f aca="false">IF($B279="","",ROW()-5)</f>
        <v/>
      </c>
      <c r="B279" s="48"/>
      <c r="C279" s="49"/>
      <c r="D279" s="50"/>
      <c r="E279" s="51"/>
      <c r="F279" s="52"/>
      <c r="G279" s="53"/>
      <c r="H279" s="50"/>
      <c r="I279" s="51"/>
      <c r="J279" s="53"/>
      <c r="K279" s="53"/>
      <c r="L279" s="39" t="str">
        <f aca="false">IF($B279="","",IF($H279="","보유중","청산"))</f>
        <v/>
      </c>
      <c r="M279" s="40" t="str">
        <f aca="false">IF($B279="","",$E279*$F279)</f>
        <v/>
      </c>
      <c r="N279" s="40" t="str">
        <f aca="false">IF($L279="청산",$I279*$F279,"")</f>
        <v/>
      </c>
      <c r="O279" s="40" t="str">
        <f aca="false">IF($B279="","",$G279+$J279+$K279)</f>
        <v/>
      </c>
      <c r="P279" s="41" t="str">
        <f aca="false">IF($L279="청산",$N279-$M279-$O279,"")</f>
        <v/>
      </c>
      <c r="Q279" s="42" t="str">
        <f aca="false">IF($L279="청산",IF($M279=0,"",$P279/$M279),"")</f>
        <v/>
      </c>
      <c r="R279" s="43" t="str">
        <f aca="true">IF($B279="","",IF($L279="청산",$H279-$D279,IF($D279="","",TODAY()-$D279)))</f>
        <v/>
      </c>
      <c r="S279" s="44" t="str">
        <f aca="false">IF($L279="청산",DATE(YEAR($H279),MONTH($H279),1),"")</f>
        <v/>
      </c>
      <c r="T279" s="48"/>
      <c r="U279" s="49"/>
      <c r="V279" s="46" t="str">
        <f aca="false">IF($B279="","",IF($L279&lt;&gt;"청산",N(V278),IF($P279&gt;0,N(V278)+1,0)))</f>
        <v/>
      </c>
      <c r="W279" s="46" t="str">
        <f aca="false">IF($B279="","",IF($L279&lt;&gt;"청산",N(W278),IF($P279&lt;0,N(W278)+1,0)))</f>
        <v/>
      </c>
    </row>
    <row r="280" customFormat="false" ht="15" hidden="false" customHeight="false" outlineLevel="0" collapsed="false">
      <c r="A280" s="32" t="str">
        <f aca="false">IF($B280="","",ROW()-5)</f>
        <v/>
      </c>
      <c r="B280" s="48"/>
      <c r="C280" s="49"/>
      <c r="D280" s="50"/>
      <c r="E280" s="51"/>
      <c r="F280" s="52"/>
      <c r="G280" s="53"/>
      <c r="H280" s="50"/>
      <c r="I280" s="51"/>
      <c r="J280" s="53"/>
      <c r="K280" s="53"/>
      <c r="L280" s="39" t="str">
        <f aca="false">IF($B280="","",IF($H280="","보유중","청산"))</f>
        <v/>
      </c>
      <c r="M280" s="40" t="str">
        <f aca="false">IF($B280="","",$E280*$F280)</f>
        <v/>
      </c>
      <c r="N280" s="40" t="str">
        <f aca="false">IF($L280="청산",$I280*$F280,"")</f>
        <v/>
      </c>
      <c r="O280" s="40" t="str">
        <f aca="false">IF($B280="","",$G280+$J280+$K280)</f>
        <v/>
      </c>
      <c r="P280" s="41" t="str">
        <f aca="false">IF($L280="청산",$N280-$M280-$O280,"")</f>
        <v/>
      </c>
      <c r="Q280" s="42" t="str">
        <f aca="false">IF($L280="청산",IF($M280=0,"",$P280/$M280),"")</f>
        <v/>
      </c>
      <c r="R280" s="43" t="str">
        <f aca="true">IF($B280="","",IF($L280="청산",$H280-$D280,IF($D280="","",TODAY()-$D280)))</f>
        <v/>
      </c>
      <c r="S280" s="44" t="str">
        <f aca="false">IF($L280="청산",DATE(YEAR($H280),MONTH($H280),1),"")</f>
        <v/>
      </c>
      <c r="T280" s="48"/>
      <c r="U280" s="49"/>
      <c r="V280" s="46" t="str">
        <f aca="false">IF($B280="","",IF($L280&lt;&gt;"청산",N(V279),IF($P280&gt;0,N(V279)+1,0)))</f>
        <v/>
      </c>
      <c r="W280" s="46" t="str">
        <f aca="false">IF($B280="","",IF($L280&lt;&gt;"청산",N(W279),IF($P280&lt;0,N(W279)+1,0)))</f>
        <v/>
      </c>
    </row>
    <row r="281" customFormat="false" ht="15" hidden="false" customHeight="false" outlineLevel="0" collapsed="false">
      <c r="A281" s="32" t="str">
        <f aca="false">IF($B281="","",ROW()-5)</f>
        <v/>
      </c>
      <c r="B281" s="48"/>
      <c r="C281" s="49"/>
      <c r="D281" s="50"/>
      <c r="E281" s="51"/>
      <c r="F281" s="52"/>
      <c r="G281" s="53"/>
      <c r="H281" s="50"/>
      <c r="I281" s="51"/>
      <c r="J281" s="53"/>
      <c r="K281" s="53"/>
      <c r="L281" s="39" t="str">
        <f aca="false">IF($B281="","",IF($H281="","보유중","청산"))</f>
        <v/>
      </c>
      <c r="M281" s="40" t="str">
        <f aca="false">IF($B281="","",$E281*$F281)</f>
        <v/>
      </c>
      <c r="N281" s="40" t="str">
        <f aca="false">IF($L281="청산",$I281*$F281,"")</f>
        <v/>
      </c>
      <c r="O281" s="40" t="str">
        <f aca="false">IF($B281="","",$G281+$J281+$K281)</f>
        <v/>
      </c>
      <c r="P281" s="41" t="str">
        <f aca="false">IF($L281="청산",$N281-$M281-$O281,"")</f>
        <v/>
      </c>
      <c r="Q281" s="42" t="str">
        <f aca="false">IF($L281="청산",IF($M281=0,"",$P281/$M281),"")</f>
        <v/>
      </c>
      <c r="R281" s="43" t="str">
        <f aca="true">IF($B281="","",IF($L281="청산",$H281-$D281,IF($D281="","",TODAY()-$D281)))</f>
        <v/>
      </c>
      <c r="S281" s="44" t="str">
        <f aca="false">IF($L281="청산",DATE(YEAR($H281),MONTH($H281),1),"")</f>
        <v/>
      </c>
      <c r="T281" s="48"/>
      <c r="U281" s="49"/>
      <c r="V281" s="46" t="str">
        <f aca="false">IF($B281="","",IF($L281&lt;&gt;"청산",N(V280),IF($P281&gt;0,N(V280)+1,0)))</f>
        <v/>
      </c>
      <c r="W281" s="46" t="str">
        <f aca="false">IF($B281="","",IF($L281&lt;&gt;"청산",N(W280),IF($P281&lt;0,N(W280)+1,0)))</f>
        <v/>
      </c>
    </row>
    <row r="282" customFormat="false" ht="15" hidden="false" customHeight="false" outlineLevel="0" collapsed="false">
      <c r="A282" s="32" t="str">
        <f aca="false">IF($B282="","",ROW()-5)</f>
        <v/>
      </c>
      <c r="B282" s="48"/>
      <c r="C282" s="49"/>
      <c r="D282" s="50"/>
      <c r="E282" s="51"/>
      <c r="F282" s="52"/>
      <c r="G282" s="53"/>
      <c r="H282" s="50"/>
      <c r="I282" s="51"/>
      <c r="J282" s="53"/>
      <c r="K282" s="53"/>
      <c r="L282" s="39" t="str">
        <f aca="false">IF($B282="","",IF($H282="","보유중","청산"))</f>
        <v/>
      </c>
      <c r="M282" s="40" t="str">
        <f aca="false">IF($B282="","",$E282*$F282)</f>
        <v/>
      </c>
      <c r="N282" s="40" t="str">
        <f aca="false">IF($L282="청산",$I282*$F282,"")</f>
        <v/>
      </c>
      <c r="O282" s="40" t="str">
        <f aca="false">IF($B282="","",$G282+$J282+$K282)</f>
        <v/>
      </c>
      <c r="P282" s="41" t="str">
        <f aca="false">IF($L282="청산",$N282-$M282-$O282,"")</f>
        <v/>
      </c>
      <c r="Q282" s="42" t="str">
        <f aca="false">IF($L282="청산",IF($M282=0,"",$P282/$M282),"")</f>
        <v/>
      </c>
      <c r="R282" s="43" t="str">
        <f aca="true">IF($B282="","",IF($L282="청산",$H282-$D282,IF($D282="","",TODAY()-$D282)))</f>
        <v/>
      </c>
      <c r="S282" s="44" t="str">
        <f aca="false">IF($L282="청산",DATE(YEAR($H282),MONTH($H282),1),"")</f>
        <v/>
      </c>
      <c r="T282" s="48"/>
      <c r="U282" s="49"/>
      <c r="V282" s="46" t="str">
        <f aca="false">IF($B282="","",IF($L282&lt;&gt;"청산",N(V281),IF($P282&gt;0,N(V281)+1,0)))</f>
        <v/>
      </c>
      <c r="W282" s="46" t="str">
        <f aca="false">IF($B282="","",IF($L282&lt;&gt;"청산",N(W281),IF($P282&lt;0,N(W281)+1,0)))</f>
        <v/>
      </c>
    </row>
    <row r="283" customFormat="false" ht="15" hidden="false" customHeight="false" outlineLevel="0" collapsed="false">
      <c r="A283" s="32" t="str">
        <f aca="false">IF($B283="","",ROW()-5)</f>
        <v/>
      </c>
      <c r="B283" s="48"/>
      <c r="C283" s="49"/>
      <c r="D283" s="50"/>
      <c r="E283" s="51"/>
      <c r="F283" s="52"/>
      <c r="G283" s="53"/>
      <c r="H283" s="50"/>
      <c r="I283" s="51"/>
      <c r="J283" s="53"/>
      <c r="K283" s="53"/>
      <c r="L283" s="39" t="str">
        <f aca="false">IF($B283="","",IF($H283="","보유중","청산"))</f>
        <v/>
      </c>
      <c r="M283" s="40" t="str">
        <f aca="false">IF($B283="","",$E283*$F283)</f>
        <v/>
      </c>
      <c r="N283" s="40" t="str">
        <f aca="false">IF($L283="청산",$I283*$F283,"")</f>
        <v/>
      </c>
      <c r="O283" s="40" t="str">
        <f aca="false">IF($B283="","",$G283+$J283+$K283)</f>
        <v/>
      </c>
      <c r="P283" s="41" t="str">
        <f aca="false">IF($L283="청산",$N283-$M283-$O283,"")</f>
        <v/>
      </c>
      <c r="Q283" s="42" t="str">
        <f aca="false">IF($L283="청산",IF($M283=0,"",$P283/$M283),"")</f>
        <v/>
      </c>
      <c r="R283" s="43" t="str">
        <f aca="true">IF($B283="","",IF($L283="청산",$H283-$D283,IF($D283="","",TODAY()-$D283)))</f>
        <v/>
      </c>
      <c r="S283" s="44" t="str">
        <f aca="false">IF($L283="청산",DATE(YEAR($H283),MONTH($H283),1),"")</f>
        <v/>
      </c>
      <c r="T283" s="48"/>
      <c r="U283" s="49"/>
      <c r="V283" s="46" t="str">
        <f aca="false">IF($B283="","",IF($L283&lt;&gt;"청산",N(V282),IF($P283&gt;0,N(V282)+1,0)))</f>
        <v/>
      </c>
      <c r="W283" s="46" t="str">
        <f aca="false">IF($B283="","",IF($L283&lt;&gt;"청산",N(W282),IF($P283&lt;0,N(W282)+1,0)))</f>
        <v/>
      </c>
    </row>
    <row r="284" customFormat="false" ht="15" hidden="false" customHeight="false" outlineLevel="0" collapsed="false">
      <c r="A284" s="32" t="str">
        <f aca="false">IF($B284="","",ROW()-5)</f>
        <v/>
      </c>
      <c r="B284" s="48"/>
      <c r="C284" s="49"/>
      <c r="D284" s="50"/>
      <c r="E284" s="51"/>
      <c r="F284" s="52"/>
      <c r="G284" s="53"/>
      <c r="H284" s="50"/>
      <c r="I284" s="51"/>
      <c r="J284" s="53"/>
      <c r="K284" s="53"/>
      <c r="L284" s="39" t="str">
        <f aca="false">IF($B284="","",IF($H284="","보유중","청산"))</f>
        <v/>
      </c>
      <c r="M284" s="40" t="str">
        <f aca="false">IF($B284="","",$E284*$F284)</f>
        <v/>
      </c>
      <c r="N284" s="40" t="str">
        <f aca="false">IF($L284="청산",$I284*$F284,"")</f>
        <v/>
      </c>
      <c r="O284" s="40" t="str">
        <f aca="false">IF($B284="","",$G284+$J284+$K284)</f>
        <v/>
      </c>
      <c r="P284" s="41" t="str">
        <f aca="false">IF($L284="청산",$N284-$M284-$O284,"")</f>
        <v/>
      </c>
      <c r="Q284" s="42" t="str">
        <f aca="false">IF($L284="청산",IF($M284=0,"",$P284/$M284),"")</f>
        <v/>
      </c>
      <c r="R284" s="43" t="str">
        <f aca="true">IF($B284="","",IF($L284="청산",$H284-$D284,IF($D284="","",TODAY()-$D284)))</f>
        <v/>
      </c>
      <c r="S284" s="44" t="str">
        <f aca="false">IF($L284="청산",DATE(YEAR($H284),MONTH($H284),1),"")</f>
        <v/>
      </c>
      <c r="T284" s="48"/>
      <c r="U284" s="49"/>
      <c r="V284" s="46" t="str">
        <f aca="false">IF($B284="","",IF($L284&lt;&gt;"청산",N(V283),IF($P284&gt;0,N(V283)+1,0)))</f>
        <v/>
      </c>
      <c r="W284" s="46" t="str">
        <f aca="false">IF($B284="","",IF($L284&lt;&gt;"청산",N(W283),IF($P284&lt;0,N(W283)+1,0)))</f>
        <v/>
      </c>
    </row>
    <row r="285" customFormat="false" ht="15" hidden="false" customHeight="false" outlineLevel="0" collapsed="false">
      <c r="A285" s="32" t="str">
        <f aca="false">IF($B285="","",ROW()-5)</f>
        <v/>
      </c>
      <c r="B285" s="48"/>
      <c r="C285" s="49"/>
      <c r="D285" s="50"/>
      <c r="E285" s="51"/>
      <c r="F285" s="52"/>
      <c r="G285" s="53"/>
      <c r="H285" s="50"/>
      <c r="I285" s="51"/>
      <c r="J285" s="53"/>
      <c r="K285" s="53"/>
      <c r="L285" s="39" t="str">
        <f aca="false">IF($B285="","",IF($H285="","보유중","청산"))</f>
        <v/>
      </c>
      <c r="M285" s="40" t="str">
        <f aca="false">IF($B285="","",$E285*$F285)</f>
        <v/>
      </c>
      <c r="N285" s="40" t="str">
        <f aca="false">IF($L285="청산",$I285*$F285,"")</f>
        <v/>
      </c>
      <c r="O285" s="40" t="str">
        <f aca="false">IF($B285="","",$G285+$J285+$K285)</f>
        <v/>
      </c>
      <c r="P285" s="41" t="str">
        <f aca="false">IF($L285="청산",$N285-$M285-$O285,"")</f>
        <v/>
      </c>
      <c r="Q285" s="42" t="str">
        <f aca="false">IF($L285="청산",IF($M285=0,"",$P285/$M285),"")</f>
        <v/>
      </c>
      <c r="R285" s="43" t="str">
        <f aca="true">IF($B285="","",IF($L285="청산",$H285-$D285,IF($D285="","",TODAY()-$D285)))</f>
        <v/>
      </c>
      <c r="S285" s="44" t="str">
        <f aca="false">IF($L285="청산",DATE(YEAR($H285),MONTH($H285),1),"")</f>
        <v/>
      </c>
      <c r="T285" s="48"/>
      <c r="U285" s="49"/>
      <c r="V285" s="46" t="str">
        <f aca="false">IF($B285="","",IF($L285&lt;&gt;"청산",N(V284),IF($P285&gt;0,N(V284)+1,0)))</f>
        <v/>
      </c>
      <c r="W285" s="46" t="str">
        <f aca="false">IF($B285="","",IF($L285&lt;&gt;"청산",N(W284),IF($P285&lt;0,N(W284)+1,0)))</f>
        <v/>
      </c>
    </row>
    <row r="286" customFormat="false" ht="15" hidden="false" customHeight="false" outlineLevel="0" collapsed="false">
      <c r="A286" s="32" t="str">
        <f aca="false">IF($B286="","",ROW()-5)</f>
        <v/>
      </c>
      <c r="B286" s="48"/>
      <c r="C286" s="49"/>
      <c r="D286" s="50"/>
      <c r="E286" s="51"/>
      <c r="F286" s="52"/>
      <c r="G286" s="53"/>
      <c r="H286" s="50"/>
      <c r="I286" s="51"/>
      <c r="J286" s="53"/>
      <c r="K286" s="53"/>
      <c r="L286" s="39" t="str">
        <f aca="false">IF($B286="","",IF($H286="","보유중","청산"))</f>
        <v/>
      </c>
      <c r="M286" s="40" t="str">
        <f aca="false">IF($B286="","",$E286*$F286)</f>
        <v/>
      </c>
      <c r="N286" s="40" t="str">
        <f aca="false">IF($L286="청산",$I286*$F286,"")</f>
        <v/>
      </c>
      <c r="O286" s="40" t="str">
        <f aca="false">IF($B286="","",$G286+$J286+$K286)</f>
        <v/>
      </c>
      <c r="P286" s="41" t="str">
        <f aca="false">IF($L286="청산",$N286-$M286-$O286,"")</f>
        <v/>
      </c>
      <c r="Q286" s="42" t="str">
        <f aca="false">IF($L286="청산",IF($M286=0,"",$P286/$M286),"")</f>
        <v/>
      </c>
      <c r="R286" s="43" t="str">
        <f aca="true">IF($B286="","",IF($L286="청산",$H286-$D286,IF($D286="","",TODAY()-$D286)))</f>
        <v/>
      </c>
      <c r="S286" s="44" t="str">
        <f aca="false">IF($L286="청산",DATE(YEAR($H286),MONTH($H286),1),"")</f>
        <v/>
      </c>
      <c r="T286" s="48"/>
      <c r="U286" s="49"/>
      <c r="V286" s="46" t="str">
        <f aca="false">IF($B286="","",IF($L286&lt;&gt;"청산",N(V285),IF($P286&gt;0,N(V285)+1,0)))</f>
        <v/>
      </c>
      <c r="W286" s="46" t="str">
        <f aca="false">IF($B286="","",IF($L286&lt;&gt;"청산",N(W285),IF($P286&lt;0,N(W285)+1,0)))</f>
        <v/>
      </c>
    </row>
    <row r="287" customFormat="false" ht="15" hidden="false" customHeight="false" outlineLevel="0" collapsed="false">
      <c r="A287" s="32" t="str">
        <f aca="false">IF($B287="","",ROW()-5)</f>
        <v/>
      </c>
      <c r="B287" s="48"/>
      <c r="C287" s="49"/>
      <c r="D287" s="50"/>
      <c r="E287" s="51"/>
      <c r="F287" s="52"/>
      <c r="G287" s="53"/>
      <c r="H287" s="50"/>
      <c r="I287" s="51"/>
      <c r="J287" s="53"/>
      <c r="K287" s="53"/>
      <c r="L287" s="39" t="str">
        <f aca="false">IF($B287="","",IF($H287="","보유중","청산"))</f>
        <v/>
      </c>
      <c r="M287" s="40" t="str">
        <f aca="false">IF($B287="","",$E287*$F287)</f>
        <v/>
      </c>
      <c r="N287" s="40" t="str">
        <f aca="false">IF($L287="청산",$I287*$F287,"")</f>
        <v/>
      </c>
      <c r="O287" s="40" t="str">
        <f aca="false">IF($B287="","",$G287+$J287+$K287)</f>
        <v/>
      </c>
      <c r="P287" s="41" t="str">
        <f aca="false">IF($L287="청산",$N287-$M287-$O287,"")</f>
        <v/>
      </c>
      <c r="Q287" s="42" t="str">
        <f aca="false">IF($L287="청산",IF($M287=0,"",$P287/$M287),"")</f>
        <v/>
      </c>
      <c r="R287" s="43" t="str">
        <f aca="true">IF($B287="","",IF($L287="청산",$H287-$D287,IF($D287="","",TODAY()-$D287)))</f>
        <v/>
      </c>
      <c r="S287" s="44" t="str">
        <f aca="false">IF($L287="청산",DATE(YEAR($H287),MONTH($H287),1),"")</f>
        <v/>
      </c>
      <c r="T287" s="48"/>
      <c r="U287" s="49"/>
      <c r="V287" s="46" t="str">
        <f aca="false">IF($B287="","",IF($L287&lt;&gt;"청산",N(V286),IF($P287&gt;0,N(V286)+1,0)))</f>
        <v/>
      </c>
      <c r="W287" s="46" t="str">
        <f aca="false">IF($B287="","",IF($L287&lt;&gt;"청산",N(W286),IF($P287&lt;0,N(W286)+1,0)))</f>
        <v/>
      </c>
    </row>
    <row r="288" customFormat="false" ht="15" hidden="false" customHeight="false" outlineLevel="0" collapsed="false">
      <c r="A288" s="32" t="str">
        <f aca="false">IF($B288="","",ROW()-5)</f>
        <v/>
      </c>
      <c r="B288" s="48"/>
      <c r="C288" s="49"/>
      <c r="D288" s="50"/>
      <c r="E288" s="51"/>
      <c r="F288" s="52"/>
      <c r="G288" s="53"/>
      <c r="H288" s="50"/>
      <c r="I288" s="51"/>
      <c r="J288" s="53"/>
      <c r="K288" s="53"/>
      <c r="L288" s="39" t="str">
        <f aca="false">IF($B288="","",IF($H288="","보유중","청산"))</f>
        <v/>
      </c>
      <c r="M288" s="40" t="str">
        <f aca="false">IF($B288="","",$E288*$F288)</f>
        <v/>
      </c>
      <c r="N288" s="40" t="str">
        <f aca="false">IF($L288="청산",$I288*$F288,"")</f>
        <v/>
      </c>
      <c r="O288" s="40" t="str">
        <f aca="false">IF($B288="","",$G288+$J288+$K288)</f>
        <v/>
      </c>
      <c r="P288" s="41" t="str">
        <f aca="false">IF($L288="청산",$N288-$M288-$O288,"")</f>
        <v/>
      </c>
      <c r="Q288" s="42" t="str">
        <f aca="false">IF($L288="청산",IF($M288=0,"",$P288/$M288),"")</f>
        <v/>
      </c>
      <c r="R288" s="43" t="str">
        <f aca="true">IF($B288="","",IF($L288="청산",$H288-$D288,IF($D288="","",TODAY()-$D288)))</f>
        <v/>
      </c>
      <c r="S288" s="44" t="str">
        <f aca="false">IF($L288="청산",DATE(YEAR($H288),MONTH($H288),1),"")</f>
        <v/>
      </c>
      <c r="T288" s="48"/>
      <c r="U288" s="49"/>
      <c r="V288" s="46" t="str">
        <f aca="false">IF($B288="","",IF($L288&lt;&gt;"청산",N(V287),IF($P288&gt;0,N(V287)+1,0)))</f>
        <v/>
      </c>
      <c r="W288" s="46" t="str">
        <f aca="false">IF($B288="","",IF($L288&lt;&gt;"청산",N(W287),IF($P288&lt;0,N(W287)+1,0)))</f>
        <v/>
      </c>
    </row>
    <row r="289" customFormat="false" ht="15" hidden="false" customHeight="false" outlineLevel="0" collapsed="false">
      <c r="A289" s="32" t="str">
        <f aca="false">IF($B289="","",ROW()-5)</f>
        <v/>
      </c>
      <c r="B289" s="48"/>
      <c r="C289" s="49"/>
      <c r="D289" s="50"/>
      <c r="E289" s="51"/>
      <c r="F289" s="52"/>
      <c r="G289" s="53"/>
      <c r="H289" s="50"/>
      <c r="I289" s="51"/>
      <c r="J289" s="53"/>
      <c r="K289" s="53"/>
      <c r="L289" s="39" t="str">
        <f aca="false">IF($B289="","",IF($H289="","보유중","청산"))</f>
        <v/>
      </c>
      <c r="M289" s="40" t="str">
        <f aca="false">IF($B289="","",$E289*$F289)</f>
        <v/>
      </c>
      <c r="N289" s="40" t="str">
        <f aca="false">IF($L289="청산",$I289*$F289,"")</f>
        <v/>
      </c>
      <c r="O289" s="40" t="str">
        <f aca="false">IF($B289="","",$G289+$J289+$K289)</f>
        <v/>
      </c>
      <c r="P289" s="41" t="str">
        <f aca="false">IF($L289="청산",$N289-$M289-$O289,"")</f>
        <v/>
      </c>
      <c r="Q289" s="42" t="str">
        <f aca="false">IF($L289="청산",IF($M289=0,"",$P289/$M289),"")</f>
        <v/>
      </c>
      <c r="R289" s="43" t="str">
        <f aca="true">IF($B289="","",IF($L289="청산",$H289-$D289,IF($D289="","",TODAY()-$D289)))</f>
        <v/>
      </c>
      <c r="S289" s="44" t="str">
        <f aca="false">IF($L289="청산",DATE(YEAR($H289),MONTH($H289),1),"")</f>
        <v/>
      </c>
      <c r="T289" s="48"/>
      <c r="U289" s="49"/>
      <c r="V289" s="46" t="str">
        <f aca="false">IF($B289="","",IF($L289&lt;&gt;"청산",N(V288),IF($P289&gt;0,N(V288)+1,0)))</f>
        <v/>
      </c>
      <c r="W289" s="46" t="str">
        <f aca="false">IF($B289="","",IF($L289&lt;&gt;"청산",N(W288),IF($P289&lt;0,N(W288)+1,0)))</f>
        <v/>
      </c>
    </row>
    <row r="290" customFormat="false" ht="15" hidden="false" customHeight="false" outlineLevel="0" collapsed="false">
      <c r="A290" s="32" t="str">
        <f aca="false">IF($B290="","",ROW()-5)</f>
        <v/>
      </c>
      <c r="B290" s="48"/>
      <c r="C290" s="49"/>
      <c r="D290" s="50"/>
      <c r="E290" s="51"/>
      <c r="F290" s="52"/>
      <c r="G290" s="53"/>
      <c r="H290" s="50"/>
      <c r="I290" s="51"/>
      <c r="J290" s="53"/>
      <c r="K290" s="53"/>
      <c r="L290" s="39" t="str">
        <f aca="false">IF($B290="","",IF($H290="","보유중","청산"))</f>
        <v/>
      </c>
      <c r="M290" s="40" t="str">
        <f aca="false">IF($B290="","",$E290*$F290)</f>
        <v/>
      </c>
      <c r="N290" s="40" t="str">
        <f aca="false">IF($L290="청산",$I290*$F290,"")</f>
        <v/>
      </c>
      <c r="O290" s="40" t="str">
        <f aca="false">IF($B290="","",$G290+$J290+$K290)</f>
        <v/>
      </c>
      <c r="P290" s="41" t="str">
        <f aca="false">IF($L290="청산",$N290-$M290-$O290,"")</f>
        <v/>
      </c>
      <c r="Q290" s="42" t="str">
        <f aca="false">IF($L290="청산",IF($M290=0,"",$P290/$M290),"")</f>
        <v/>
      </c>
      <c r="R290" s="43" t="str">
        <f aca="true">IF($B290="","",IF($L290="청산",$H290-$D290,IF($D290="","",TODAY()-$D290)))</f>
        <v/>
      </c>
      <c r="S290" s="44" t="str">
        <f aca="false">IF($L290="청산",DATE(YEAR($H290),MONTH($H290),1),"")</f>
        <v/>
      </c>
      <c r="T290" s="48"/>
      <c r="U290" s="49"/>
      <c r="V290" s="46" t="str">
        <f aca="false">IF($B290="","",IF($L290&lt;&gt;"청산",N(V289),IF($P290&gt;0,N(V289)+1,0)))</f>
        <v/>
      </c>
      <c r="W290" s="46" t="str">
        <f aca="false">IF($B290="","",IF($L290&lt;&gt;"청산",N(W289),IF($P290&lt;0,N(W289)+1,0)))</f>
        <v/>
      </c>
    </row>
    <row r="291" customFormat="false" ht="15" hidden="false" customHeight="false" outlineLevel="0" collapsed="false">
      <c r="A291" s="32" t="str">
        <f aca="false">IF($B291="","",ROW()-5)</f>
        <v/>
      </c>
      <c r="B291" s="48"/>
      <c r="C291" s="49"/>
      <c r="D291" s="50"/>
      <c r="E291" s="51"/>
      <c r="F291" s="52"/>
      <c r="G291" s="53"/>
      <c r="H291" s="50"/>
      <c r="I291" s="51"/>
      <c r="J291" s="53"/>
      <c r="K291" s="53"/>
      <c r="L291" s="39" t="str">
        <f aca="false">IF($B291="","",IF($H291="","보유중","청산"))</f>
        <v/>
      </c>
      <c r="M291" s="40" t="str">
        <f aca="false">IF($B291="","",$E291*$F291)</f>
        <v/>
      </c>
      <c r="N291" s="40" t="str">
        <f aca="false">IF($L291="청산",$I291*$F291,"")</f>
        <v/>
      </c>
      <c r="O291" s="40" t="str">
        <f aca="false">IF($B291="","",$G291+$J291+$K291)</f>
        <v/>
      </c>
      <c r="P291" s="41" t="str">
        <f aca="false">IF($L291="청산",$N291-$M291-$O291,"")</f>
        <v/>
      </c>
      <c r="Q291" s="42" t="str">
        <f aca="false">IF($L291="청산",IF($M291=0,"",$P291/$M291),"")</f>
        <v/>
      </c>
      <c r="R291" s="43" t="str">
        <f aca="true">IF($B291="","",IF($L291="청산",$H291-$D291,IF($D291="","",TODAY()-$D291)))</f>
        <v/>
      </c>
      <c r="S291" s="44" t="str">
        <f aca="false">IF($L291="청산",DATE(YEAR($H291),MONTH($H291),1),"")</f>
        <v/>
      </c>
      <c r="T291" s="48"/>
      <c r="U291" s="49"/>
      <c r="V291" s="46" t="str">
        <f aca="false">IF($B291="","",IF($L291&lt;&gt;"청산",N(V290),IF($P291&gt;0,N(V290)+1,0)))</f>
        <v/>
      </c>
      <c r="W291" s="46" t="str">
        <f aca="false">IF($B291="","",IF($L291&lt;&gt;"청산",N(W290),IF($P291&lt;0,N(W290)+1,0)))</f>
        <v/>
      </c>
    </row>
    <row r="292" customFormat="false" ht="15" hidden="false" customHeight="false" outlineLevel="0" collapsed="false">
      <c r="A292" s="32" t="str">
        <f aca="false">IF($B292="","",ROW()-5)</f>
        <v/>
      </c>
      <c r="B292" s="48"/>
      <c r="C292" s="49"/>
      <c r="D292" s="50"/>
      <c r="E292" s="51"/>
      <c r="F292" s="52"/>
      <c r="G292" s="53"/>
      <c r="H292" s="50"/>
      <c r="I292" s="51"/>
      <c r="J292" s="53"/>
      <c r="K292" s="53"/>
      <c r="L292" s="39" t="str">
        <f aca="false">IF($B292="","",IF($H292="","보유중","청산"))</f>
        <v/>
      </c>
      <c r="M292" s="40" t="str">
        <f aca="false">IF($B292="","",$E292*$F292)</f>
        <v/>
      </c>
      <c r="N292" s="40" t="str">
        <f aca="false">IF($L292="청산",$I292*$F292,"")</f>
        <v/>
      </c>
      <c r="O292" s="40" t="str">
        <f aca="false">IF($B292="","",$G292+$J292+$K292)</f>
        <v/>
      </c>
      <c r="P292" s="41" t="str">
        <f aca="false">IF($L292="청산",$N292-$M292-$O292,"")</f>
        <v/>
      </c>
      <c r="Q292" s="42" t="str">
        <f aca="false">IF($L292="청산",IF($M292=0,"",$P292/$M292),"")</f>
        <v/>
      </c>
      <c r="R292" s="43" t="str">
        <f aca="true">IF($B292="","",IF($L292="청산",$H292-$D292,IF($D292="","",TODAY()-$D292)))</f>
        <v/>
      </c>
      <c r="S292" s="44" t="str">
        <f aca="false">IF($L292="청산",DATE(YEAR($H292),MONTH($H292),1),"")</f>
        <v/>
      </c>
      <c r="T292" s="48"/>
      <c r="U292" s="49"/>
      <c r="V292" s="46" t="str">
        <f aca="false">IF($B292="","",IF($L292&lt;&gt;"청산",N(V291),IF($P292&gt;0,N(V291)+1,0)))</f>
        <v/>
      </c>
      <c r="W292" s="46" t="str">
        <f aca="false">IF($B292="","",IF($L292&lt;&gt;"청산",N(W291),IF($P292&lt;0,N(W291)+1,0)))</f>
        <v/>
      </c>
    </row>
    <row r="293" customFormat="false" ht="15" hidden="false" customHeight="false" outlineLevel="0" collapsed="false">
      <c r="A293" s="32" t="str">
        <f aca="false">IF($B293="","",ROW()-5)</f>
        <v/>
      </c>
      <c r="B293" s="48"/>
      <c r="C293" s="49"/>
      <c r="D293" s="50"/>
      <c r="E293" s="51"/>
      <c r="F293" s="52"/>
      <c r="G293" s="53"/>
      <c r="H293" s="50"/>
      <c r="I293" s="51"/>
      <c r="J293" s="53"/>
      <c r="K293" s="53"/>
      <c r="L293" s="39" t="str">
        <f aca="false">IF($B293="","",IF($H293="","보유중","청산"))</f>
        <v/>
      </c>
      <c r="M293" s="40" t="str">
        <f aca="false">IF($B293="","",$E293*$F293)</f>
        <v/>
      </c>
      <c r="N293" s="40" t="str">
        <f aca="false">IF($L293="청산",$I293*$F293,"")</f>
        <v/>
      </c>
      <c r="O293" s="40" t="str">
        <f aca="false">IF($B293="","",$G293+$J293+$K293)</f>
        <v/>
      </c>
      <c r="P293" s="41" t="str">
        <f aca="false">IF($L293="청산",$N293-$M293-$O293,"")</f>
        <v/>
      </c>
      <c r="Q293" s="42" t="str">
        <f aca="false">IF($L293="청산",IF($M293=0,"",$P293/$M293),"")</f>
        <v/>
      </c>
      <c r="R293" s="43" t="str">
        <f aca="true">IF($B293="","",IF($L293="청산",$H293-$D293,IF($D293="","",TODAY()-$D293)))</f>
        <v/>
      </c>
      <c r="S293" s="44" t="str">
        <f aca="false">IF($L293="청산",DATE(YEAR($H293),MONTH($H293),1),"")</f>
        <v/>
      </c>
      <c r="T293" s="48"/>
      <c r="U293" s="49"/>
      <c r="V293" s="46" t="str">
        <f aca="false">IF($B293="","",IF($L293&lt;&gt;"청산",N(V292),IF($P293&gt;0,N(V292)+1,0)))</f>
        <v/>
      </c>
      <c r="W293" s="46" t="str">
        <f aca="false">IF($B293="","",IF($L293&lt;&gt;"청산",N(W292),IF($P293&lt;0,N(W292)+1,0)))</f>
        <v/>
      </c>
    </row>
    <row r="294" customFormat="false" ht="15" hidden="false" customHeight="false" outlineLevel="0" collapsed="false">
      <c r="A294" s="32" t="str">
        <f aca="false">IF($B294="","",ROW()-5)</f>
        <v/>
      </c>
      <c r="B294" s="48"/>
      <c r="C294" s="49"/>
      <c r="D294" s="50"/>
      <c r="E294" s="51"/>
      <c r="F294" s="52"/>
      <c r="G294" s="53"/>
      <c r="H294" s="50"/>
      <c r="I294" s="51"/>
      <c r="J294" s="53"/>
      <c r="K294" s="53"/>
      <c r="L294" s="39" t="str">
        <f aca="false">IF($B294="","",IF($H294="","보유중","청산"))</f>
        <v/>
      </c>
      <c r="M294" s="40" t="str">
        <f aca="false">IF($B294="","",$E294*$F294)</f>
        <v/>
      </c>
      <c r="N294" s="40" t="str">
        <f aca="false">IF($L294="청산",$I294*$F294,"")</f>
        <v/>
      </c>
      <c r="O294" s="40" t="str">
        <f aca="false">IF($B294="","",$G294+$J294+$K294)</f>
        <v/>
      </c>
      <c r="P294" s="41" t="str">
        <f aca="false">IF($L294="청산",$N294-$M294-$O294,"")</f>
        <v/>
      </c>
      <c r="Q294" s="42" t="str">
        <f aca="false">IF($L294="청산",IF($M294=0,"",$P294/$M294),"")</f>
        <v/>
      </c>
      <c r="R294" s="43" t="str">
        <f aca="true">IF($B294="","",IF($L294="청산",$H294-$D294,IF($D294="","",TODAY()-$D294)))</f>
        <v/>
      </c>
      <c r="S294" s="44" t="str">
        <f aca="false">IF($L294="청산",DATE(YEAR($H294),MONTH($H294),1),"")</f>
        <v/>
      </c>
      <c r="T294" s="48"/>
      <c r="U294" s="49"/>
      <c r="V294" s="46" t="str">
        <f aca="false">IF($B294="","",IF($L294&lt;&gt;"청산",N(V293),IF($P294&gt;0,N(V293)+1,0)))</f>
        <v/>
      </c>
      <c r="W294" s="46" t="str">
        <f aca="false">IF($B294="","",IF($L294&lt;&gt;"청산",N(W293),IF($P294&lt;0,N(W293)+1,0)))</f>
        <v/>
      </c>
    </row>
    <row r="295" customFormat="false" ht="15" hidden="false" customHeight="false" outlineLevel="0" collapsed="false">
      <c r="A295" s="32" t="str">
        <f aca="false">IF($B295="","",ROW()-5)</f>
        <v/>
      </c>
      <c r="B295" s="48"/>
      <c r="C295" s="49"/>
      <c r="D295" s="50"/>
      <c r="E295" s="51"/>
      <c r="F295" s="52"/>
      <c r="G295" s="53"/>
      <c r="H295" s="50"/>
      <c r="I295" s="51"/>
      <c r="J295" s="53"/>
      <c r="K295" s="53"/>
      <c r="L295" s="39" t="str">
        <f aca="false">IF($B295="","",IF($H295="","보유중","청산"))</f>
        <v/>
      </c>
      <c r="M295" s="40" t="str">
        <f aca="false">IF($B295="","",$E295*$F295)</f>
        <v/>
      </c>
      <c r="N295" s="40" t="str">
        <f aca="false">IF($L295="청산",$I295*$F295,"")</f>
        <v/>
      </c>
      <c r="O295" s="40" t="str">
        <f aca="false">IF($B295="","",$G295+$J295+$K295)</f>
        <v/>
      </c>
      <c r="P295" s="41" t="str">
        <f aca="false">IF($L295="청산",$N295-$M295-$O295,"")</f>
        <v/>
      </c>
      <c r="Q295" s="42" t="str">
        <f aca="false">IF($L295="청산",IF($M295=0,"",$P295/$M295),"")</f>
        <v/>
      </c>
      <c r="R295" s="43" t="str">
        <f aca="true">IF($B295="","",IF($L295="청산",$H295-$D295,IF($D295="","",TODAY()-$D295)))</f>
        <v/>
      </c>
      <c r="S295" s="44" t="str">
        <f aca="false">IF($L295="청산",DATE(YEAR($H295),MONTH($H295),1),"")</f>
        <v/>
      </c>
      <c r="T295" s="48"/>
      <c r="U295" s="49"/>
      <c r="V295" s="46" t="str">
        <f aca="false">IF($B295="","",IF($L295&lt;&gt;"청산",N(V294),IF($P295&gt;0,N(V294)+1,0)))</f>
        <v/>
      </c>
      <c r="W295" s="46" t="str">
        <f aca="false">IF($B295="","",IF($L295&lt;&gt;"청산",N(W294),IF($P295&lt;0,N(W294)+1,0)))</f>
        <v/>
      </c>
    </row>
    <row r="296" customFormat="false" ht="15" hidden="false" customHeight="false" outlineLevel="0" collapsed="false">
      <c r="A296" s="32" t="str">
        <f aca="false">IF($B296="","",ROW()-5)</f>
        <v/>
      </c>
      <c r="B296" s="48"/>
      <c r="C296" s="49"/>
      <c r="D296" s="50"/>
      <c r="E296" s="51"/>
      <c r="F296" s="52"/>
      <c r="G296" s="53"/>
      <c r="H296" s="50"/>
      <c r="I296" s="51"/>
      <c r="J296" s="53"/>
      <c r="K296" s="53"/>
      <c r="L296" s="39" t="str">
        <f aca="false">IF($B296="","",IF($H296="","보유중","청산"))</f>
        <v/>
      </c>
      <c r="M296" s="40" t="str">
        <f aca="false">IF($B296="","",$E296*$F296)</f>
        <v/>
      </c>
      <c r="N296" s="40" t="str">
        <f aca="false">IF($L296="청산",$I296*$F296,"")</f>
        <v/>
      </c>
      <c r="O296" s="40" t="str">
        <f aca="false">IF($B296="","",$G296+$J296+$K296)</f>
        <v/>
      </c>
      <c r="P296" s="41" t="str">
        <f aca="false">IF($L296="청산",$N296-$M296-$O296,"")</f>
        <v/>
      </c>
      <c r="Q296" s="42" t="str">
        <f aca="false">IF($L296="청산",IF($M296=0,"",$P296/$M296),"")</f>
        <v/>
      </c>
      <c r="R296" s="43" t="str">
        <f aca="true">IF($B296="","",IF($L296="청산",$H296-$D296,IF($D296="","",TODAY()-$D296)))</f>
        <v/>
      </c>
      <c r="S296" s="44" t="str">
        <f aca="false">IF($L296="청산",DATE(YEAR($H296),MONTH($H296),1),"")</f>
        <v/>
      </c>
      <c r="T296" s="48"/>
      <c r="U296" s="49"/>
      <c r="V296" s="46" t="str">
        <f aca="false">IF($B296="","",IF($L296&lt;&gt;"청산",N(V295),IF($P296&gt;0,N(V295)+1,0)))</f>
        <v/>
      </c>
      <c r="W296" s="46" t="str">
        <f aca="false">IF($B296="","",IF($L296&lt;&gt;"청산",N(W295),IF($P296&lt;0,N(W295)+1,0)))</f>
        <v/>
      </c>
    </row>
    <row r="297" customFormat="false" ht="15" hidden="false" customHeight="false" outlineLevel="0" collapsed="false">
      <c r="A297" s="32" t="str">
        <f aca="false">IF($B297="","",ROW()-5)</f>
        <v/>
      </c>
      <c r="B297" s="48"/>
      <c r="C297" s="49"/>
      <c r="D297" s="50"/>
      <c r="E297" s="51"/>
      <c r="F297" s="52"/>
      <c r="G297" s="53"/>
      <c r="H297" s="50"/>
      <c r="I297" s="51"/>
      <c r="J297" s="53"/>
      <c r="K297" s="53"/>
      <c r="L297" s="39" t="str">
        <f aca="false">IF($B297="","",IF($H297="","보유중","청산"))</f>
        <v/>
      </c>
      <c r="M297" s="40" t="str">
        <f aca="false">IF($B297="","",$E297*$F297)</f>
        <v/>
      </c>
      <c r="N297" s="40" t="str">
        <f aca="false">IF($L297="청산",$I297*$F297,"")</f>
        <v/>
      </c>
      <c r="O297" s="40" t="str">
        <f aca="false">IF($B297="","",$G297+$J297+$K297)</f>
        <v/>
      </c>
      <c r="P297" s="41" t="str">
        <f aca="false">IF($L297="청산",$N297-$M297-$O297,"")</f>
        <v/>
      </c>
      <c r="Q297" s="42" t="str">
        <f aca="false">IF($L297="청산",IF($M297=0,"",$P297/$M297),"")</f>
        <v/>
      </c>
      <c r="R297" s="43" t="str">
        <f aca="true">IF($B297="","",IF($L297="청산",$H297-$D297,IF($D297="","",TODAY()-$D297)))</f>
        <v/>
      </c>
      <c r="S297" s="44" t="str">
        <f aca="false">IF($L297="청산",DATE(YEAR($H297),MONTH($H297),1),"")</f>
        <v/>
      </c>
      <c r="T297" s="48"/>
      <c r="U297" s="49"/>
      <c r="V297" s="46" t="str">
        <f aca="false">IF($B297="","",IF($L297&lt;&gt;"청산",N(V296),IF($P297&gt;0,N(V296)+1,0)))</f>
        <v/>
      </c>
      <c r="W297" s="46" t="str">
        <f aca="false">IF($B297="","",IF($L297&lt;&gt;"청산",N(W296),IF($P297&lt;0,N(W296)+1,0)))</f>
        <v/>
      </c>
    </row>
    <row r="298" customFormat="false" ht="15" hidden="false" customHeight="false" outlineLevel="0" collapsed="false">
      <c r="A298" s="32" t="str">
        <f aca="false">IF($B298="","",ROW()-5)</f>
        <v/>
      </c>
      <c r="B298" s="48"/>
      <c r="C298" s="49"/>
      <c r="D298" s="50"/>
      <c r="E298" s="51"/>
      <c r="F298" s="52"/>
      <c r="G298" s="53"/>
      <c r="H298" s="50"/>
      <c r="I298" s="51"/>
      <c r="J298" s="53"/>
      <c r="K298" s="53"/>
      <c r="L298" s="39" t="str">
        <f aca="false">IF($B298="","",IF($H298="","보유중","청산"))</f>
        <v/>
      </c>
      <c r="M298" s="40" t="str">
        <f aca="false">IF($B298="","",$E298*$F298)</f>
        <v/>
      </c>
      <c r="N298" s="40" t="str">
        <f aca="false">IF($L298="청산",$I298*$F298,"")</f>
        <v/>
      </c>
      <c r="O298" s="40" t="str">
        <f aca="false">IF($B298="","",$G298+$J298+$K298)</f>
        <v/>
      </c>
      <c r="P298" s="41" t="str">
        <f aca="false">IF($L298="청산",$N298-$M298-$O298,"")</f>
        <v/>
      </c>
      <c r="Q298" s="42" t="str">
        <f aca="false">IF($L298="청산",IF($M298=0,"",$P298/$M298),"")</f>
        <v/>
      </c>
      <c r="R298" s="43" t="str">
        <f aca="true">IF($B298="","",IF($L298="청산",$H298-$D298,IF($D298="","",TODAY()-$D298)))</f>
        <v/>
      </c>
      <c r="S298" s="44" t="str">
        <f aca="false">IF($L298="청산",DATE(YEAR($H298),MONTH($H298),1),"")</f>
        <v/>
      </c>
      <c r="T298" s="48"/>
      <c r="U298" s="49"/>
      <c r="V298" s="46" t="str">
        <f aca="false">IF($B298="","",IF($L298&lt;&gt;"청산",N(V297),IF($P298&gt;0,N(V297)+1,0)))</f>
        <v/>
      </c>
      <c r="W298" s="46" t="str">
        <f aca="false">IF($B298="","",IF($L298&lt;&gt;"청산",N(W297),IF($P298&lt;0,N(W297)+1,0)))</f>
        <v/>
      </c>
    </row>
    <row r="299" customFormat="false" ht="15" hidden="false" customHeight="false" outlineLevel="0" collapsed="false">
      <c r="A299" s="32" t="str">
        <f aca="false">IF($B299="","",ROW()-5)</f>
        <v/>
      </c>
      <c r="B299" s="48"/>
      <c r="C299" s="49"/>
      <c r="D299" s="50"/>
      <c r="E299" s="51"/>
      <c r="F299" s="52"/>
      <c r="G299" s="53"/>
      <c r="H299" s="50"/>
      <c r="I299" s="51"/>
      <c r="J299" s="53"/>
      <c r="K299" s="53"/>
      <c r="L299" s="39" t="str">
        <f aca="false">IF($B299="","",IF($H299="","보유중","청산"))</f>
        <v/>
      </c>
      <c r="M299" s="40" t="str">
        <f aca="false">IF($B299="","",$E299*$F299)</f>
        <v/>
      </c>
      <c r="N299" s="40" t="str">
        <f aca="false">IF($L299="청산",$I299*$F299,"")</f>
        <v/>
      </c>
      <c r="O299" s="40" t="str">
        <f aca="false">IF($B299="","",$G299+$J299+$K299)</f>
        <v/>
      </c>
      <c r="P299" s="41" t="str">
        <f aca="false">IF($L299="청산",$N299-$M299-$O299,"")</f>
        <v/>
      </c>
      <c r="Q299" s="42" t="str">
        <f aca="false">IF($L299="청산",IF($M299=0,"",$P299/$M299),"")</f>
        <v/>
      </c>
      <c r="R299" s="43" t="str">
        <f aca="true">IF($B299="","",IF($L299="청산",$H299-$D299,IF($D299="","",TODAY()-$D299)))</f>
        <v/>
      </c>
      <c r="S299" s="44" t="str">
        <f aca="false">IF($L299="청산",DATE(YEAR($H299),MONTH($H299),1),"")</f>
        <v/>
      </c>
      <c r="T299" s="48"/>
      <c r="U299" s="49"/>
      <c r="V299" s="46" t="str">
        <f aca="false">IF($B299="","",IF($L299&lt;&gt;"청산",N(V298),IF($P299&gt;0,N(V298)+1,0)))</f>
        <v/>
      </c>
      <c r="W299" s="46" t="str">
        <f aca="false">IF($B299="","",IF($L299&lt;&gt;"청산",N(W298),IF($P299&lt;0,N(W298)+1,0)))</f>
        <v/>
      </c>
    </row>
    <row r="300" customFormat="false" ht="15" hidden="false" customHeight="false" outlineLevel="0" collapsed="false">
      <c r="A300" s="32" t="str">
        <f aca="false">IF($B300="","",ROW()-5)</f>
        <v/>
      </c>
      <c r="B300" s="48"/>
      <c r="C300" s="49"/>
      <c r="D300" s="50"/>
      <c r="E300" s="51"/>
      <c r="F300" s="52"/>
      <c r="G300" s="53"/>
      <c r="H300" s="50"/>
      <c r="I300" s="51"/>
      <c r="J300" s="53"/>
      <c r="K300" s="53"/>
      <c r="L300" s="39" t="str">
        <f aca="false">IF($B300="","",IF($H300="","보유중","청산"))</f>
        <v/>
      </c>
      <c r="M300" s="40" t="str">
        <f aca="false">IF($B300="","",$E300*$F300)</f>
        <v/>
      </c>
      <c r="N300" s="40" t="str">
        <f aca="false">IF($L300="청산",$I300*$F300,"")</f>
        <v/>
      </c>
      <c r="O300" s="40" t="str">
        <f aca="false">IF($B300="","",$G300+$J300+$K300)</f>
        <v/>
      </c>
      <c r="P300" s="41" t="str">
        <f aca="false">IF($L300="청산",$N300-$M300-$O300,"")</f>
        <v/>
      </c>
      <c r="Q300" s="42" t="str">
        <f aca="false">IF($L300="청산",IF($M300=0,"",$P300/$M300),"")</f>
        <v/>
      </c>
      <c r="R300" s="43" t="str">
        <f aca="true">IF($B300="","",IF($L300="청산",$H300-$D300,IF($D300="","",TODAY()-$D300)))</f>
        <v/>
      </c>
      <c r="S300" s="44" t="str">
        <f aca="false">IF($L300="청산",DATE(YEAR($H300),MONTH($H300),1),"")</f>
        <v/>
      </c>
      <c r="T300" s="48"/>
      <c r="U300" s="49"/>
      <c r="V300" s="46" t="str">
        <f aca="false">IF($B300="","",IF($L300&lt;&gt;"청산",N(V299),IF($P300&gt;0,N(V299)+1,0)))</f>
        <v/>
      </c>
      <c r="W300" s="46" t="str">
        <f aca="false">IF($B300="","",IF($L300&lt;&gt;"청산",N(W299),IF($P300&lt;0,N(W299)+1,0)))</f>
        <v/>
      </c>
    </row>
    <row r="301" customFormat="false" ht="15" hidden="false" customHeight="false" outlineLevel="0" collapsed="false">
      <c r="A301" s="32" t="str">
        <f aca="false">IF($B301="","",ROW()-5)</f>
        <v/>
      </c>
      <c r="B301" s="48"/>
      <c r="C301" s="49"/>
      <c r="D301" s="50"/>
      <c r="E301" s="51"/>
      <c r="F301" s="52"/>
      <c r="G301" s="53"/>
      <c r="H301" s="50"/>
      <c r="I301" s="51"/>
      <c r="J301" s="53"/>
      <c r="K301" s="53"/>
      <c r="L301" s="39" t="str">
        <f aca="false">IF($B301="","",IF($H301="","보유중","청산"))</f>
        <v/>
      </c>
      <c r="M301" s="40" t="str">
        <f aca="false">IF($B301="","",$E301*$F301)</f>
        <v/>
      </c>
      <c r="N301" s="40" t="str">
        <f aca="false">IF($L301="청산",$I301*$F301,"")</f>
        <v/>
      </c>
      <c r="O301" s="40" t="str">
        <f aca="false">IF($B301="","",$G301+$J301+$K301)</f>
        <v/>
      </c>
      <c r="P301" s="41" t="str">
        <f aca="false">IF($L301="청산",$N301-$M301-$O301,"")</f>
        <v/>
      </c>
      <c r="Q301" s="42" t="str">
        <f aca="false">IF($L301="청산",IF($M301=0,"",$P301/$M301),"")</f>
        <v/>
      </c>
      <c r="R301" s="43" t="str">
        <f aca="true">IF($B301="","",IF($L301="청산",$H301-$D301,IF($D301="","",TODAY()-$D301)))</f>
        <v/>
      </c>
      <c r="S301" s="44" t="str">
        <f aca="false">IF($L301="청산",DATE(YEAR($H301),MONTH($H301),1),"")</f>
        <v/>
      </c>
      <c r="T301" s="48"/>
      <c r="U301" s="49"/>
      <c r="V301" s="46" t="str">
        <f aca="false">IF($B301="","",IF($L301&lt;&gt;"청산",N(V300),IF($P301&gt;0,N(V300)+1,0)))</f>
        <v/>
      </c>
      <c r="W301" s="46" t="str">
        <f aca="false">IF($B301="","",IF($L301&lt;&gt;"청산",N(W300),IF($P301&lt;0,N(W300)+1,0)))</f>
        <v/>
      </c>
    </row>
    <row r="302" customFormat="false" ht="15" hidden="false" customHeight="false" outlineLevel="0" collapsed="false">
      <c r="A302" s="32" t="str">
        <f aca="false">IF($B302="","",ROW()-5)</f>
        <v/>
      </c>
      <c r="B302" s="48"/>
      <c r="C302" s="49"/>
      <c r="D302" s="50"/>
      <c r="E302" s="51"/>
      <c r="F302" s="52"/>
      <c r="G302" s="53"/>
      <c r="H302" s="50"/>
      <c r="I302" s="51"/>
      <c r="J302" s="53"/>
      <c r="K302" s="53"/>
      <c r="L302" s="39" t="str">
        <f aca="false">IF($B302="","",IF($H302="","보유중","청산"))</f>
        <v/>
      </c>
      <c r="M302" s="40" t="str">
        <f aca="false">IF($B302="","",$E302*$F302)</f>
        <v/>
      </c>
      <c r="N302" s="40" t="str">
        <f aca="false">IF($L302="청산",$I302*$F302,"")</f>
        <v/>
      </c>
      <c r="O302" s="40" t="str">
        <f aca="false">IF($B302="","",$G302+$J302+$K302)</f>
        <v/>
      </c>
      <c r="P302" s="41" t="str">
        <f aca="false">IF($L302="청산",$N302-$M302-$O302,"")</f>
        <v/>
      </c>
      <c r="Q302" s="42" t="str">
        <f aca="false">IF($L302="청산",IF($M302=0,"",$P302/$M302),"")</f>
        <v/>
      </c>
      <c r="R302" s="43" t="str">
        <f aca="true">IF($B302="","",IF($L302="청산",$H302-$D302,IF($D302="","",TODAY()-$D302)))</f>
        <v/>
      </c>
      <c r="S302" s="44" t="str">
        <f aca="false">IF($L302="청산",DATE(YEAR($H302),MONTH($H302),1),"")</f>
        <v/>
      </c>
      <c r="T302" s="48"/>
      <c r="U302" s="49"/>
      <c r="V302" s="46" t="str">
        <f aca="false">IF($B302="","",IF($L302&lt;&gt;"청산",N(V301),IF($P302&gt;0,N(V301)+1,0)))</f>
        <v/>
      </c>
      <c r="W302" s="46" t="str">
        <f aca="false">IF($B302="","",IF($L302&lt;&gt;"청산",N(W301),IF($P302&lt;0,N(W301)+1,0)))</f>
        <v/>
      </c>
    </row>
    <row r="303" customFormat="false" ht="15" hidden="false" customHeight="false" outlineLevel="0" collapsed="false">
      <c r="A303" s="32" t="str">
        <f aca="false">IF($B303="","",ROW()-5)</f>
        <v/>
      </c>
      <c r="B303" s="48"/>
      <c r="C303" s="49"/>
      <c r="D303" s="50"/>
      <c r="E303" s="51"/>
      <c r="F303" s="52"/>
      <c r="G303" s="53"/>
      <c r="H303" s="50"/>
      <c r="I303" s="51"/>
      <c r="J303" s="53"/>
      <c r="K303" s="53"/>
      <c r="L303" s="39" t="str">
        <f aca="false">IF($B303="","",IF($H303="","보유중","청산"))</f>
        <v/>
      </c>
      <c r="M303" s="40" t="str">
        <f aca="false">IF($B303="","",$E303*$F303)</f>
        <v/>
      </c>
      <c r="N303" s="40" t="str">
        <f aca="false">IF($L303="청산",$I303*$F303,"")</f>
        <v/>
      </c>
      <c r="O303" s="40" t="str">
        <f aca="false">IF($B303="","",$G303+$J303+$K303)</f>
        <v/>
      </c>
      <c r="P303" s="41" t="str">
        <f aca="false">IF($L303="청산",$N303-$M303-$O303,"")</f>
        <v/>
      </c>
      <c r="Q303" s="42" t="str">
        <f aca="false">IF($L303="청산",IF($M303=0,"",$P303/$M303),"")</f>
        <v/>
      </c>
      <c r="R303" s="43" t="str">
        <f aca="true">IF($B303="","",IF($L303="청산",$H303-$D303,IF($D303="","",TODAY()-$D303)))</f>
        <v/>
      </c>
      <c r="S303" s="44" t="str">
        <f aca="false">IF($L303="청산",DATE(YEAR($H303),MONTH($H303),1),"")</f>
        <v/>
      </c>
      <c r="T303" s="48"/>
      <c r="U303" s="49"/>
      <c r="V303" s="46" t="str">
        <f aca="false">IF($B303="","",IF($L303&lt;&gt;"청산",N(V302),IF($P303&gt;0,N(V302)+1,0)))</f>
        <v/>
      </c>
      <c r="W303" s="46" t="str">
        <f aca="false">IF($B303="","",IF($L303&lt;&gt;"청산",N(W302),IF($P303&lt;0,N(W302)+1,0)))</f>
        <v/>
      </c>
    </row>
    <row r="304" customFormat="false" ht="15" hidden="false" customHeight="false" outlineLevel="0" collapsed="false">
      <c r="A304" s="32" t="str">
        <f aca="false">IF($B304="","",ROW()-5)</f>
        <v/>
      </c>
      <c r="B304" s="48"/>
      <c r="C304" s="49"/>
      <c r="D304" s="50"/>
      <c r="E304" s="51"/>
      <c r="F304" s="52"/>
      <c r="G304" s="53"/>
      <c r="H304" s="50"/>
      <c r="I304" s="51"/>
      <c r="J304" s="53"/>
      <c r="K304" s="53"/>
      <c r="L304" s="39" t="str">
        <f aca="false">IF($B304="","",IF($H304="","보유중","청산"))</f>
        <v/>
      </c>
      <c r="M304" s="40" t="str">
        <f aca="false">IF($B304="","",$E304*$F304)</f>
        <v/>
      </c>
      <c r="N304" s="40" t="str">
        <f aca="false">IF($L304="청산",$I304*$F304,"")</f>
        <v/>
      </c>
      <c r="O304" s="40" t="str">
        <f aca="false">IF($B304="","",$G304+$J304+$K304)</f>
        <v/>
      </c>
      <c r="P304" s="41" t="str">
        <f aca="false">IF($L304="청산",$N304-$M304-$O304,"")</f>
        <v/>
      </c>
      <c r="Q304" s="42" t="str">
        <f aca="false">IF($L304="청산",IF($M304=0,"",$P304/$M304),"")</f>
        <v/>
      </c>
      <c r="R304" s="43" t="str">
        <f aca="true">IF($B304="","",IF($L304="청산",$H304-$D304,IF($D304="","",TODAY()-$D304)))</f>
        <v/>
      </c>
      <c r="S304" s="44" t="str">
        <f aca="false">IF($L304="청산",DATE(YEAR($H304),MONTH($H304),1),"")</f>
        <v/>
      </c>
      <c r="T304" s="48"/>
      <c r="U304" s="49"/>
      <c r="V304" s="46" t="str">
        <f aca="false">IF($B304="","",IF($L304&lt;&gt;"청산",N(V303),IF($P304&gt;0,N(V303)+1,0)))</f>
        <v/>
      </c>
      <c r="W304" s="46" t="str">
        <f aca="false">IF($B304="","",IF($L304&lt;&gt;"청산",N(W303),IF($P304&lt;0,N(W303)+1,0)))</f>
        <v/>
      </c>
    </row>
    <row r="305" customFormat="false" ht="15" hidden="false" customHeight="false" outlineLevel="0" collapsed="false">
      <c r="A305" s="32" t="str">
        <f aca="false">IF($B305="","",ROW()-5)</f>
        <v/>
      </c>
      <c r="B305" s="48"/>
      <c r="C305" s="49"/>
      <c r="D305" s="50"/>
      <c r="E305" s="51"/>
      <c r="F305" s="52"/>
      <c r="G305" s="53"/>
      <c r="H305" s="50"/>
      <c r="I305" s="51"/>
      <c r="J305" s="53"/>
      <c r="K305" s="53"/>
      <c r="L305" s="39" t="str">
        <f aca="false">IF($B305="","",IF($H305="","보유중","청산"))</f>
        <v/>
      </c>
      <c r="M305" s="40" t="str">
        <f aca="false">IF($B305="","",$E305*$F305)</f>
        <v/>
      </c>
      <c r="N305" s="40" t="str">
        <f aca="false">IF($L305="청산",$I305*$F305,"")</f>
        <v/>
      </c>
      <c r="O305" s="40" t="str">
        <f aca="false">IF($B305="","",$G305+$J305+$K305)</f>
        <v/>
      </c>
      <c r="P305" s="41" t="str">
        <f aca="false">IF($L305="청산",$N305-$M305-$O305,"")</f>
        <v/>
      </c>
      <c r="Q305" s="42" t="str">
        <f aca="false">IF($L305="청산",IF($M305=0,"",$P305/$M305),"")</f>
        <v/>
      </c>
      <c r="R305" s="43" t="str">
        <f aca="true">IF($B305="","",IF($L305="청산",$H305-$D305,IF($D305="","",TODAY()-$D305)))</f>
        <v/>
      </c>
      <c r="S305" s="44" t="str">
        <f aca="false">IF($L305="청산",DATE(YEAR($H305),MONTH($H305),1),"")</f>
        <v/>
      </c>
      <c r="T305" s="48"/>
      <c r="U305" s="49"/>
      <c r="V305" s="46" t="str">
        <f aca="false">IF($B305="","",IF($L305&lt;&gt;"청산",N(V304),IF($P305&gt;0,N(V304)+1,0)))</f>
        <v/>
      </c>
      <c r="W305" s="46" t="str">
        <f aca="false">IF($B305="","",IF($L305&lt;&gt;"청산",N(W304),IF($P305&lt;0,N(W304)+1,0)))</f>
        <v/>
      </c>
    </row>
    <row r="306" customFormat="false" ht="15" hidden="false" customHeight="false" outlineLevel="0" collapsed="false">
      <c r="A306" s="32" t="str">
        <f aca="false">IF($B306="","",ROW()-5)</f>
        <v/>
      </c>
      <c r="B306" s="48"/>
      <c r="C306" s="49"/>
      <c r="D306" s="50"/>
      <c r="E306" s="51"/>
      <c r="F306" s="52"/>
      <c r="G306" s="53"/>
      <c r="H306" s="50"/>
      <c r="I306" s="51"/>
      <c r="J306" s="53"/>
      <c r="K306" s="53"/>
      <c r="L306" s="39" t="str">
        <f aca="false">IF($B306="","",IF($H306="","보유중","청산"))</f>
        <v/>
      </c>
      <c r="M306" s="40" t="str">
        <f aca="false">IF($B306="","",$E306*$F306)</f>
        <v/>
      </c>
      <c r="N306" s="40" t="str">
        <f aca="false">IF($L306="청산",$I306*$F306,"")</f>
        <v/>
      </c>
      <c r="O306" s="40" t="str">
        <f aca="false">IF($B306="","",$G306+$J306+$K306)</f>
        <v/>
      </c>
      <c r="P306" s="41" t="str">
        <f aca="false">IF($L306="청산",$N306-$M306-$O306,"")</f>
        <v/>
      </c>
      <c r="Q306" s="42" t="str">
        <f aca="false">IF($L306="청산",IF($M306=0,"",$P306/$M306),"")</f>
        <v/>
      </c>
      <c r="R306" s="43" t="str">
        <f aca="true">IF($B306="","",IF($L306="청산",$H306-$D306,IF($D306="","",TODAY()-$D306)))</f>
        <v/>
      </c>
      <c r="S306" s="44" t="str">
        <f aca="false">IF($L306="청산",DATE(YEAR($H306),MONTH($H306),1),"")</f>
        <v/>
      </c>
      <c r="T306" s="48"/>
      <c r="U306" s="49"/>
      <c r="V306" s="46" t="str">
        <f aca="false">IF($B306="","",IF($L306&lt;&gt;"청산",N(V305),IF($P306&gt;0,N(V305)+1,0)))</f>
        <v/>
      </c>
      <c r="W306" s="46" t="str">
        <f aca="false">IF($B306="","",IF($L306&lt;&gt;"청산",N(W305),IF($P306&lt;0,N(W305)+1,0)))</f>
        <v/>
      </c>
    </row>
    <row r="307" customFormat="false" ht="15" hidden="false" customHeight="false" outlineLevel="0" collapsed="false">
      <c r="A307" s="32" t="str">
        <f aca="false">IF($B307="","",ROW()-5)</f>
        <v/>
      </c>
      <c r="B307" s="48"/>
      <c r="C307" s="49"/>
      <c r="D307" s="50"/>
      <c r="E307" s="51"/>
      <c r="F307" s="52"/>
      <c r="G307" s="53"/>
      <c r="H307" s="50"/>
      <c r="I307" s="51"/>
      <c r="J307" s="53"/>
      <c r="K307" s="53"/>
      <c r="L307" s="39" t="str">
        <f aca="false">IF($B307="","",IF($H307="","보유중","청산"))</f>
        <v/>
      </c>
      <c r="M307" s="40" t="str">
        <f aca="false">IF($B307="","",$E307*$F307)</f>
        <v/>
      </c>
      <c r="N307" s="40" t="str">
        <f aca="false">IF($L307="청산",$I307*$F307,"")</f>
        <v/>
      </c>
      <c r="O307" s="40" t="str">
        <f aca="false">IF($B307="","",$G307+$J307+$K307)</f>
        <v/>
      </c>
      <c r="P307" s="41" t="str">
        <f aca="false">IF($L307="청산",$N307-$M307-$O307,"")</f>
        <v/>
      </c>
      <c r="Q307" s="42" t="str">
        <f aca="false">IF($L307="청산",IF($M307=0,"",$P307/$M307),"")</f>
        <v/>
      </c>
      <c r="R307" s="43" t="str">
        <f aca="true">IF($B307="","",IF($L307="청산",$H307-$D307,IF($D307="","",TODAY()-$D307)))</f>
        <v/>
      </c>
      <c r="S307" s="44" t="str">
        <f aca="false">IF($L307="청산",DATE(YEAR($H307),MONTH($H307),1),"")</f>
        <v/>
      </c>
      <c r="T307" s="48"/>
      <c r="U307" s="49"/>
      <c r="V307" s="46" t="str">
        <f aca="false">IF($B307="","",IF($L307&lt;&gt;"청산",N(V306),IF($P307&gt;0,N(V306)+1,0)))</f>
        <v/>
      </c>
      <c r="W307" s="46" t="str">
        <f aca="false">IF($B307="","",IF($L307&lt;&gt;"청산",N(W306),IF($P307&lt;0,N(W306)+1,0)))</f>
        <v/>
      </c>
    </row>
    <row r="308" customFormat="false" ht="15" hidden="false" customHeight="false" outlineLevel="0" collapsed="false">
      <c r="A308" s="32" t="str">
        <f aca="false">IF($B308="","",ROW()-5)</f>
        <v/>
      </c>
      <c r="B308" s="48"/>
      <c r="C308" s="49"/>
      <c r="D308" s="50"/>
      <c r="E308" s="51"/>
      <c r="F308" s="52"/>
      <c r="G308" s="53"/>
      <c r="H308" s="50"/>
      <c r="I308" s="51"/>
      <c r="J308" s="53"/>
      <c r="K308" s="53"/>
      <c r="L308" s="39" t="str">
        <f aca="false">IF($B308="","",IF($H308="","보유중","청산"))</f>
        <v/>
      </c>
      <c r="M308" s="40" t="str">
        <f aca="false">IF($B308="","",$E308*$F308)</f>
        <v/>
      </c>
      <c r="N308" s="40" t="str">
        <f aca="false">IF($L308="청산",$I308*$F308,"")</f>
        <v/>
      </c>
      <c r="O308" s="40" t="str">
        <f aca="false">IF($B308="","",$G308+$J308+$K308)</f>
        <v/>
      </c>
      <c r="P308" s="41" t="str">
        <f aca="false">IF($L308="청산",$N308-$M308-$O308,"")</f>
        <v/>
      </c>
      <c r="Q308" s="42" t="str">
        <f aca="false">IF($L308="청산",IF($M308=0,"",$P308/$M308),"")</f>
        <v/>
      </c>
      <c r="R308" s="43" t="str">
        <f aca="true">IF($B308="","",IF($L308="청산",$H308-$D308,IF($D308="","",TODAY()-$D308)))</f>
        <v/>
      </c>
      <c r="S308" s="44" t="str">
        <f aca="false">IF($L308="청산",DATE(YEAR($H308),MONTH($H308),1),"")</f>
        <v/>
      </c>
      <c r="T308" s="48"/>
      <c r="U308" s="49"/>
      <c r="V308" s="46" t="str">
        <f aca="false">IF($B308="","",IF($L308&lt;&gt;"청산",N(V307),IF($P308&gt;0,N(V307)+1,0)))</f>
        <v/>
      </c>
      <c r="W308" s="46" t="str">
        <f aca="false">IF($B308="","",IF($L308&lt;&gt;"청산",N(W307),IF($P308&lt;0,N(W307)+1,0)))</f>
        <v/>
      </c>
    </row>
    <row r="309" customFormat="false" ht="15" hidden="false" customHeight="false" outlineLevel="0" collapsed="false">
      <c r="A309" s="32" t="str">
        <f aca="false">IF($B309="","",ROW()-5)</f>
        <v/>
      </c>
      <c r="B309" s="48"/>
      <c r="C309" s="49"/>
      <c r="D309" s="50"/>
      <c r="E309" s="51"/>
      <c r="F309" s="52"/>
      <c r="G309" s="53"/>
      <c r="H309" s="50"/>
      <c r="I309" s="51"/>
      <c r="J309" s="53"/>
      <c r="K309" s="53"/>
      <c r="L309" s="39" t="str">
        <f aca="false">IF($B309="","",IF($H309="","보유중","청산"))</f>
        <v/>
      </c>
      <c r="M309" s="40" t="str">
        <f aca="false">IF($B309="","",$E309*$F309)</f>
        <v/>
      </c>
      <c r="N309" s="40" t="str">
        <f aca="false">IF($L309="청산",$I309*$F309,"")</f>
        <v/>
      </c>
      <c r="O309" s="40" t="str">
        <f aca="false">IF($B309="","",$G309+$J309+$K309)</f>
        <v/>
      </c>
      <c r="P309" s="41" t="str">
        <f aca="false">IF($L309="청산",$N309-$M309-$O309,"")</f>
        <v/>
      </c>
      <c r="Q309" s="42" t="str">
        <f aca="false">IF($L309="청산",IF($M309=0,"",$P309/$M309),"")</f>
        <v/>
      </c>
      <c r="R309" s="43" t="str">
        <f aca="true">IF($B309="","",IF($L309="청산",$H309-$D309,IF($D309="","",TODAY()-$D309)))</f>
        <v/>
      </c>
      <c r="S309" s="44" t="str">
        <f aca="false">IF($L309="청산",DATE(YEAR($H309),MONTH($H309),1),"")</f>
        <v/>
      </c>
      <c r="T309" s="48"/>
      <c r="U309" s="49"/>
      <c r="V309" s="46" t="str">
        <f aca="false">IF($B309="","",IF($L309&lt;&gt;"청산",N(V308),IF($P309&gt;0,N(V308)+1,0)))</f>
        <v/>
      </c>
      <c r="W309" s="46" t="str">
        <f aca="false">IF($B309="","",IF($L309&lt;&gt;"청산",N(W308),IF($P309&lt;0,N(W308)+1,0)))</f>
        <v/>
      </c>
    </row>
    <row r="310" customFormat="false" ht="15" hidden="false" customHeight="false" outlineLevel="0" collapsed="false">
      <c r="A310" s="32" t="str">
        <f aca="false">IF($B310="","",ROW()-5)</f>
        <v/>
      </c>
      <c r="B310" s="48"/>
      <c r="C310" s="49"/>
      <c r="D310" s="50"/>
      <c r="E310" s="51"/>
      <c r="F310" s="52"/>
      <c r="G310" s="53"/>
      <c r="H310" s="50"/>
      <c r="I310" s="51"/>
      <c r="J310" s="53"/>
      <c r="K310" s="53"/>
      <c r="L310" s="39" t="str">
        <f aca="false">IF($B310="","",IF($H310="","보유중","청산"))</f>
        <v/>
      </c>
      <c r="M310" s="40" t="str">
        <f aca="false">IF($B310="","",$E310*$F310)</f>
        <v/>
      </c>
      <c r="N310" s="40" t="str">
        <f aca="false">IF($L310="청산",$I310*$F310,"")</f>
        <v/>
      </c>
      <c r="O310" s="40" t="str">
        <f aca="false">IF($B310="","",$G310+$J310+$K310)</f>
        <v/>
      </c>
      <c r="P310" s="41" t="str">
        <f aca="false">IF($L310="청산",$N310-$M310-$O310,"")</f>
        <v/>
      </c>
      <c r="Q310" s="42" t="str">
        <f aca="false">IF($L310="청산",IF($M310=0,"",$P310/$M310),"")</f>
        <v/>
      </c>
      <c r="R310" s="43" t="str">
        <f aca="true">IF($B310="","",IF($L310="청산",$H310-$D310,IF($D310="","",TODAY()-$D310)))</f>
        <v/>
      </c>
      <c r="S310" s="44" t="str">
        <f aca="false">IF($L310="청산",DATE(YEAR($H310),MONTH($H310),1),"")</f>
        <v/>
      </c>
      <c r="T310" s="48"/>
      <c r="U310" s="49"/>
      <c r="V310" s="46" t="str">
        <f aca="false">IF($B310="","",IF($L310&lt;&gt;"청산",N(V309),IF($P310&gt;0,N(V309)+1,0)))</f>
        <v/>
      </c>
      <c r="W310" s="46" t="str">
        <f aca="false">IF($B310="","",IF($L310&lt;&gt;"청산",N(W309),IF($P310&lt;0,N(W309)+1,0)))</f>
        <v/>
      </c>
    </row>
    <row r="311" customFormat="false" ht="15" hidden="false" customHeight="false" outlineLevel="0" collapsed="false">
      <c r="A311" s="32" t="str">
        <f aca="false">IF($B311="","",ROW()-5)</f>
        <v/>
      </c>
      <c r="B311" s="48"/>
      <c r="C311" s="49"/>
      <c r="D311" s="50"/>
      <c r="E311" s="51"/>
      <c r="F311" s="52"/>
      <c r="G311" s="53"/>
      <c r="H311" s="50"/>
      <c r="I311" s="51"/>
      <c r="J311" s="53"/>
      <c r="K311" s="53"/>
      <c r="L311" s="39" t="str">
        <f aca="false">IF($B311="","",IF($H311="","보유중","청산"))</f>
        <v/>
      </c>
      <c r="M311" s="40" t="str">
        <f aca="false">IF($B311="","",$E311*$F311)</f>
        <v/>
      </c>
      <c r="N311" s="40" t="str">
        <f aca="false">IF($L311="청산",$I311*$F311,"")</f>
        <v/>
      </c>
      <c r="O311" s="40" t="str">
        <f aca="false">IF($B311="","",$G311+$J311+$K311)</f>
        <v/>
      </c>
      <c r="P311" s="41" t="str">
        <f aca="false">IF($L311="청산",$N311-$M311-$O311,"")</f>
        <v/>
      </c>
      <c r="Q311" s="42" t="str">
        <f aca="false">IF($L311="청산",IF($M311=0,"",$P311/$M311),"")</f>
        <v/>
      </c>
      <c r="R311" s="43" t="str">
        <f aca="true">IF($B311="","",IF($L311="청산",$H311-$D311,IF($D311="","",TODAY()-$D311)))</f>
        <v/>
      </c>
      <c r="S311" s="44" t="str">
        <f aca="false">IF($L311="청산",DATE(YEAR($H311),MONTH($H311),1),"")</f>
        <v/>
      </c>
      <c r="T311" s="48"/>
      <c r="U311" s="49"/>
      <c r="V311" s="46" t="str">
        <f aca="false">IF($B311="","",IF($L311&lt;&gt;"청산",N(V310),IF($P311&gt;0,N(V310)+1,0)))</f>
        <v/>
      </c>
      <c r="W311" s="46" t="str">
        <f aca="false">IF($B311="","",IF($L311&lt;&gt;"청산",N(W310),IF($P311&lt;0,N(W310)+1,0)))</f>
        <v/>
      </c>
    </row>
    <row r="312" customFormat="false" ht="15" hidden="false" customHeight="false" outlineLevel="0" collapsed="false">
      <c r="A312" s="32" t="str">
        <f aca="false">IF($B312="","",ROW()-5)</f>
        <v/>
      </c>
      <c r="B312" s="48"/>
      <c r="C312" s="49"/>
      <c r="D312" s="50"/>
      <c r="E312" s="51"/>
      <c r="F312" s="52"/>
      <c r="G312" s="53"/>
      <c r="H312" s="50"/>
      <c r="I312" s="51"/>
      <c r="J312" s="53"/>
      <c r="K312" s="53"/>
      <c r="L312" s="39" t="str">
        <f aca="false">IF($B312="","",IF($H312="","보유중","청산"))</f>
        <v/>
      </c>
      <c r="M312" s="40" t="str">
        <f aca="false">IF($B312="","",$E312*$F312)</f>
        <v/>
      </c>
      <c r="N312" s="40" t="str">
        <f aca="false">IF($L312="청산",$I312*$F312,"")</f>
        <v/>
      </c>
      <c r="O312" s="40" t="str">
        <f aca="false">IF($B312="","",$G312+$J312+$K312)</f>
        <v/>
      </c>
      <c r="P312" s="41" t="str">
        <f aca="false">IF($L312="청산",$N312-$M312-$O312,"")</f>
        <v/>
      </c>
      <c r="Q312" s="42" t="str">
        <f aca="false">IF($L312="청산",IF($M312=0,"",$P312/$M312),"")</f>
        <v/>
      </c>
      <c r="R312" s="43" t="str">
        <f aca="true">IF($B312="","",IF($L312="청산",$H312-$D312,IF($D312="","",TODAY()-$D312)))</f>
        <v/>
      </c>
      <c r="S312" s="44" t="str">
        <f aca="false">IF($L312="청산",DATE(YEAR($H312),MONTH($H312),1),"")</f>
        <v/>
      </c>
      <c r="T312" s="48"/>
      <c r="U312" s="49"/>
      <c r="V312" s="46" t="str">
        <f aca="false">IF($B312="","",IF($L312&lt;&gt;"청산",N(V311),IF($P312&gt;0,N(V311)+1,0)))</f>
        <v/>
      </c>
      <c r="W312" s="46" t="str">
        <f aca="false">IF($B312="","",IF($L312&lt;&gt;"청산",N(W311),IF($P312&lt;0,N(W311)+1,0)))</f>
        <v/>
      </c>
    </row>
    <row r="313" customFormat="false" ht="15" hidden="false" customHeight="false" outlineLevel="0" collapsed="false">
      <c r="A313" s="32" t="str">
        <f aca="false">IF($B313="","",ROW()-5)</f>
        <v/>
      </c>
      <c r="B313" s="48"/>
      <c r="C313" s="49"/>
      <c r="D313" s="50"/>
      <c r="E313" s="51"/>
      <c r="F313" s="52"/>
      <c r="G313" s="53"/>
      <c r="H313" s="50"/>
      <c r="I313" s="51"/>
      <c r="J313" s="53"/>
      <c r="K313" s="53"/>
      <c r="L313" s="39" t="str">
        <f aca="false">IF($B313="","",IF($H313="","보유중","청산"))</f>
        <v/>
      </c>
      <c r="M313" s="40" t="str">
        <f aca="false">IF($B313="","",$E313*$F313)</f>
        <v/>
      </c>
      <c r="N313" s="40" t="str">
        <f aca="false">IF($L313="청산",$I313*$F313,"")</f>
        <v/>
      </c>
      <c r="O313" s="40" t="str">
        <f aca="false">IF($B313="","",$G313+$J313+$K313)</f>
        <v/>
      </c>
      <c r="P313" s="41" t="str">
        <f aca="false">IF($L313="청산",$N313-$M313-$O313,"")</f>
        <v/>
      </c>
      <c r="Q313" s="42" t="str">
        <f aca="false">IF($L313="청산",IF($M313=0,"",$P313/$M313),"")</f>
        <v/>
      </c>
      <c r="R313" s="43" t="str">
        <f aca="true">IF($B313="","",IF($L313="청산",$H313-$D313,IF($D313="","",TODAY()-$D313)))</f>
        <v/>
      </c>
      <c r="S313" s="44" t="str">
        <f aca="false">IF($L313="청산",DATE(YEAR($H313),MONTH($H313),1),"")</f>
        <v/>
      </c>
      <c r="T313" s="48"/>
      <c r="U313" s="49"/>
      <c r="V313" s="46" t="str">
        <f aca="false">IF($B313="","",IF($L313&lt;&gt;"청산",N(V312),IF($P313&gt;0,N(V312)+1,0)))</f>
        <v/>
      </c>
      <c r="W313" s="46" t="str">
        <f aca="false">IF($B313="","",IF($L313&lt;&gt;"청산",N(W312),IF($P313&lt;0,N(W312)+1,0)))</f>
        <v/>
      </c>
    </row>
    <row r="314" customFormat="false" ht="15" hidden="false" customHeight="false" outlineLevel="0" collapsed="false">
      <c r="A314" s="32" t="str">
        <f aca="false">IF($B314="","",ROW()-5)</f>
        <v/>
      </c>
      <c r="B314" s="48"/>
      <c r="C314" s="49"/>
      <c r="D314" s="50"/>
      <c r="E314" s="51"/>
      <c r="F314" s="52"/>
      <c r="G314" s="53"/>
      <c r="H314" s="50"/>
      <c r="I314" s="51"/>
      <c r="J314" s="53"/>
      <c r="K314" s="53"/>
      <c r="L314" s="39" t="str">
        <f aca="false">IF($B314="","",IF($H314="","보유중","청산"))</f>
        <v/>
      </c>
      <c r="M314" s="40" t="str">
        <f aca="false">IF($B314="","",$E314*$F314)</f>
        <v/>
      </c>
      <c r="N314" s="40" t="str">
        <f aca="false">IF($L314="청산",$I314*$F314,"")</f>
        <v/>
      </c>
      <c r="O314" s="40" t="str">
        <f aca="false">IF($B314="","",$G314+$J314+$K314)</f>
        <v/>
      </c>
      <c r="P314" s="41" t="str">
        <f aca="false">IF($L314="청산",$N314-$M314-$O314,"")</f>
        <v/>
      </c>
      <c r="Q314" s="42" t="str">
        <f aca="false">IF($L314="청산",IF($M314=0,"",$P314/$M314),"")</f>
        <v/>
      </c>
      <c r="R314" s="43" t="str">
        <f aca="true">IF($B314="","",IF($L314="청산",$H314-$D314,IF($D314="","",TODAY()-$D314)))</f>
        <v/>
      </c>
      <c r="S314" s="44" t="str">
        <f aca="false">IF($L314="청산",DATE(YEAR($H314),MONTH($H314),1),"")</f>
        <v/>
      </c>
      <c r="T314" s="48"/>
      <c r="U314" s="49"/>
      <c r="V314" s="46" t="str">
        <f aca="false">IF($B314="","",IF($L314&lt;&gt;"청산",N(V313),IF($P314&gt;0,N(V313)+1,0)))</f>
        <v/>
      </c>
      <c r="W314" s="46" t="str">
        <f aca="false">IF($B314="","",IF($L314&lt;&gt;"청산",N(W313),IF($P314&lt;0,N(W313)+1,0)))</f>
        <v/>
      </c>
    </row>
    <row r="315" customFormat="false" ht="15" hidden="false" customHeight="false" outlineLevel="0" collapsed="false">
      <c r="A315" s="32" t="str">
        <f aca="false">IF($B315="","",ROW()-5)</f>
        <v/>
      </c>
      <c r="B315" s="48"/>
      <c r="C315" s="49"/>
      <c r="D315" s="50"/>
      <c r="E315" s="51"/>
      <c r="F315" s="52"/>
      <c r="G315" s="53"/>
      <c r="H315" s="50"/>
      <c r="I315" s="51"/>
      <c r="J315" s="53"/>
      <c r="K315" s="53"/>
      <c r="L315" s="39" t="str">
        <f aca="false">IF($B315="","",IF($H315="","보유중","청산"))</f>
        <v/>
      </c>
      <c r="M315" s="40" t="str">
        <f aca="false">IF($B315="","",$E315*$F315)</f>
        <v/>
      </c>
      <c r="N315" s="40" t="str">
        <f aca="false">IF($L315="청산",$I315*$F315,"")</f>
        <v/>
      </c>
      <c r="O315" s="40" t="str">
        <f aca="false">IF($B315="","",$G315+$J315+$K315)</f>
        <v/>
      </c>
      <c r="P315" s="41" t="str">
        <f aca="false">IF($L315="청산",$N315-$M315-$O315,"")</f>
        <v/>
      </c>
      <c r="Q315" s="42" t="str">
        <f aca="false">IF($L315="청산",IF($M315=0,"",$P315/$M315),"")</f>
        <v/>
      </c>
      <c r="R315" s="43" t="str">
        <f aca="true">IF($B315="","",IF($L315="청산",$H315-$D315,IF($D315="","",TODAY()-$D315)))</f>
        <v/>
      </c>
      <c r="S315" s="44" t="str">
        <f aca="false">IF($L315="청산",DATE(YEAR($H315),MONTH($H315),1),"")</f>
        <v/>
      </c>
      <c r="T315" s="48"/>
      <c r="U315" s="49"/>
      <c r="V315" s="46" t="str">
        <f aca="false">IF($B315="","",IF($L315&lt;&gt;"청산",N(V314),IF($P315&gt;0,N(V314)+1,0)))</f>
        <v/>
      </c>
      <c r="W315" s="46" t="str">
        <f aca="false">IF($B315="","",IF($L315&lt;&gt;"청산",N(W314),IF($P315&lt;0,N(W314)+1,0)))</f>
        <v/>
      </c>
    </row>
    <row r="316" customFormat="false" ht="15" hidden="false" customHeight="false" outlineLevel="0" collapsed="false">
      <c r="A316" s="32" t="str">
        <f aca="false">IF($B316="","",ROW()-5)</f>
        <v/>
      </c>
      <c r="B316" s="48"/>
      <c r="C316" s="49"/>
      <c r="D316" s="50"/>
      <c r="E316" s="51"/>
      <c r="F316" s="52"/>
      <c r="G316" s="53"/>
      <c r="H316" s="50"/>
      <c r="I316" s="51"/>
      <c r="J316" s="53"/>
      <c r="K316" s="53"/>
      <c r="L316" s="39" t="str">
        <f aca="false">IF($B316="","",IF($H316="","보유중","청산"))</f>
        <v/>
      </c>
      <c r="M316" s="40" t="str">
        <f aca="false">IF($B316="","",$E316*$F316)</f>
        <v/>
      </c>
      <c r="N316" s="40" t="str">
        <f aca="false">IF($L316="청산",$I316*$F316,"")</f>
        <v/>
      </c>
      <c r="O316" s="40" t="str">
        <f aca="false">IF($B316="","",$G316+$J316+$K316)</f>
        <v/>
      </c>
      <c r="P316" s="41" t="str">
        <f aca="false">IF($L316="청산",$N316-$M316-$O316,"")</f>
        <v/>
      </c>
      <c r="Q316" s="42" t="str">
        <f aca="false">IF($L316="청산",IF($M316=0,"",$P316/$M316),"")</f>
        <v/>
      </c>
      <c r="R316" s="43" t="str">
        <f aca="true">IF($B316="","",IF($L316="청산",$H316-$D316,IF($D316="","",TODAY()-$D316)))</f>
        <v/>
      </c>
      <c r="S316" s="44" t="str">
        <f aca="false">IF($L316="청산",DATE(YEAR($H316),MONTH($H316),1),"")</f>
        <v/>
      </c>
      <c r="T316" s="48"/>
      <c r="U316" s="49"/>
      <c r="V316" s="46" t="str">
        <f aca="false">IF($B316="","",IF($L316&lt;&gt;"청산",N(V315),IF($P316&gt;0,N(V315)+1,0)))</f>
        <v/>
      </c>
      <c r="W316" s="46" t="str">
        <f aca="false">IF($B316="","",IF($L316&lt;&gt;"청산",N(W315),IF($P316&lt;0,N(W315)+1,0)))</f>
        <v/>
      </c>
    </row>
    <row r="317" customFormat="false" ht="15" hidden="false" customHeight="false" outlineLevel="0" collapsed="false">
      <c r="A317" s="32" t="str">
        <f aca="false">IF($B317="","",ROW()-5)</f>
        <v/>
      </c>
      <c r="B317" s="48"/>
      <c r="C317" s="49"/>
      <c r="D317" s="50"/>
      <c r="E317" s="51"/>
      <c r="F317" s="52"/>
      <c r="G317" s="53"/>
      <c r="H317" s="50"/>
      <c r="I317" s="51"/>
      <c r="J317" s="53"/>
      <c r="K317" s="53"/>
      <c r="L317" s="39" t="str">
        <f aca="false">IF($B317="","",IF($H317="","보유중","청산"))</f>
        <v/>
      </c>
      <c r="M317" s="40" t="str">
        <f aca="false">IF($B317="","",$E317*$F317)</f>
        <v/>
      </c>
      <c r="N317" s="40" t="str">
        <f aca="false">IF($L317="청산",$I317*$F317,"")</f>
        <v/>
      </c>
      <c r="O317" s="40" t="str">
        <f aca="false">IF($B317="","",$G317+$J317+$K317)</f>
        <v/>
      </c>
      <c r="P317" s="41" t="str">
        <f aca="false">IF($L317="청산",$N317-$M317-$O317,"")</f>
        <v/>
      </c>
      <c r="Q317" s="42" t="str">
        <f aca="false">IF($L317="청산",IF($M317=0,"",$P317/$M317),"")</f>
        <v/>
      </c>
      <c r="R317" s="43" t="str">
        <f aca="true">IF($B317="","",IF($L317="청산",$H317-$D317,IF($D317="","",TODAY()-$D317)))</f>
        <v/>
      </c>
      <c r="S317" s="44" t="str">
        <f aca="false">IF($L317="청산",DATE(YEAR($H317),MONTH($H317),1),"")</f>
        <v/>
      </c>
      <c r="T317" s="48"/>
      <c r="U317" s="49"/>
      <c r="V317" s="46" t="str">
        <f aca="false">IF($B317="","",IF($L317&lt;&gt;"청산",N(V316),IF($P317&gt;0,N(V316)+1,0)))</f>
        <v/>
      </c>
      <c r="W317" s="46" t="str">
        <f aca="false">IF($B317="","",IF($L317&lt;&gt;"청산",N(W316),IF($P317&lt;0,N(W316)+1,0)))</f>
        <v/>
      </c>
    </row>
    <row r="318" customFormat="false" ht="15" hidden="false" customHeight="false" outlineLevel="0" collapsed="false">
      <c r="A318" s="32" t="str">
        <f aca="false">IF($B318="","",ROW()-5)</f>
        <v/>
      </c>
      <c r="B318" s="48"/>
      <c r="C318" s="49"/>
      <c r="D318" s="50"/>
      <c r="E318" s="51"/>
      <c r="F318" s="52"/>
      <c r="G318" s="53"/>
      <c r="H318" s="50"/>
      <c r="I318" s="51"/>
      <c r="J318" s="53"/>
      <c r="K318" s="53"/>
      <c r="L318" s="39" t="str">
        <f aca="false">IF($B318="","",IF($H318="","보유중","청산"))</f>
        <v/>
      </c>
      <c r="M318" s="40" t="str">
        <f aca="false">IF($B318="","",$E318*$F318)</f>
        <v/>
      </c>
      <c r="N318" s="40" t="str">
        <f aca="false">IF($L318="청산",$I318*$F318,"")</f>
        <v/>
      </c>
      <c r="O318" s="40" t="str">
        <f aca="false">IF($B318="","",$G318+$J318+$K318)</f>
        <v/>
      </c>
      <c r="P318" s="41" t="str">
        <f aca="false">IF($L318="청산",$N318-$M318-$O318,"")</f>
        <v/>
      </c>
      <c r="Q318" s="42" t="str">
        <f aca="false">IF($L318="청산",IF($M318=0,"",$P318/$M318),"")</f>
        <v/>
      </c>
      <c r="R318" s="43" t="str">
        <f aca="true">IF($B318="","",IF($L318="청산",$H318-$D318,IF($D318="","",TODAY()-$D318)))</f>
        <v/>
      </c>
      <c r="S318" s="44" t="str">
        <f aca="false">IF($L318="청산",DATE(YEAR($H318),MONTH($H318),1),"")</f>
        <v/>
      </c>
      <c r="T318" s="48"/>
      <c r="U318" s="49"/>
      <c r="V318" s="46" t="str">
        <f aca="false">IF($B318="","",IF($L318&lt;&gt;"청산",N(V317),IF($P318&gt;0,N(V317)+1,0)))</f>
        <v/>
      </c>
      <c r="W318" s="46" t="str">
        <f aca="false">IF($B318="","",IF($L318&lt;&gt;"청산",N(W317),IF($P318&lt;0,N(W317)+1,0)))</f>
        <v/>
      </c>
    </row>
    <row r="319" customFormat="false" ht="15" hidden="false" customHeight="false" outlineLevel="0" collapsed="false">
      <c r="A319" s="32" t="str">
        <f aca="false">IF($B319="","",ROW()-5)</f>
        <v/>
      </c>
      <c r="B319" s="48"/>
      <c r="C319" s="49"/>
      <c r="D319" s="50"/>
      <c r="E319" s="51"/>
      <c r="F319" s="52"/>
      <c r="G319" s="53"/>
      <c r="H319" s="50"/>
      <c r="I319" s="51"/>
      <c r="J319" s="53"/>
      <c r="K319" s="53"/>
      <c r="L319" s="39" t="str">
        <f aca="false">IF($B319="","",IF($H319="","보유중","청산"))</f>
        <v/>
      </c>
      <c r="M319" s="40" t="str">
        <f aca="false">IF($B319="","",$E319*$F319)</f>
        <v/>
      </c>
      <c r="N319" s="40" t="str">
        <f aca="false">IF($L319="청산",$I319*$F319,"")</f>
        <v/>
      </c>
      <c r="O319" s="40" t="str">
        <f aca="false">IF($B319="","",$G319+$J319+$K319)</f>
        <v/>
      </c>
      <c r="P319" s="41" t="str">
        <f aca="false">IF($L319="청산",$N319-$M319-$O319,"")</f>
        <v/>
      </c>
      <c r="Q319" s="42" t="str">
        <f aca="false">IF($L319="청산",IF($M319=0,"",$P319/$M319),"")</f>
        <v/>
      </c>
      <c r="R319" s="43" t="str">
        <f aca="true">IF($B319="","",IF($L319="청산",$H319-$D319,IF($D319="","",TODAY()-$D319)))</f>
        <v/>
      </c>
      <c r="S319" s="44" t="str">
        <f aca="false">IF($L319="청산",DATE(YEAR($H319),MONTH($H319),1),"")</f>
        <v/>
      </c>
      <c r="T319" s="48"/>
      <c r="U319" s="49"/>
      <c r="V319" s="46" t="str">
        <f aca="false">IF($B319="","",IF($L319&lt;&gt;"청산",N(V318),IF($P319&gt;0,N(V318)+1,0)))</f>
        <v/>
      </c>
      <c r="W319" s="46" t="str">
        <f aca="false">IF($B319="","",IF($L319&lt;&gt;"청산",N(W318),IF($P319&lt;0,N(W318)+1,0)))</f>
        <v/>
      </c>
    </row>
    <row r="320" customFormat="false" ht="15" hidden="false" customHeight="false" outlineLevel="0" collapsed="false">
      <c r="A320" s="32" t="str">
        <f aca="false">IF($B320="","",ROW()-5)</f>
        <v/>
      </c>
      <c r="B320" s="48"/>
      <c r="C320" s="49"/>
      <c r="D320" s="50"/>
      <c r="E320" s="51"/>
      <c r="F320" s="52"/>
      <c r="G320" s="53"/>
      <c r="H320" s="50"/>
      <c r="I320" s="51"/>
      <c r="J320" s="53"/>
      <c r="K320" s="53"/>
      <c r="L320" s="39" t="str">
        <f aca="false">IF($B320="","",IF($H320="","보유중","청산"))</f>
        <v/>
      </c>
      <c r="M320" s="40" t="str">
        <f aca="false">IF($B320="","",$E320*$F320)</f>
        <v/>
      </c>
      <c r="N320" s="40" t="str">
        <f aca="false">IF($L320="청산",$I320*$F320,"")</f>
        <v/>
      </c>
      <c r="O320" s="40" t="str">
        <f aca="false">IF($B320="","",$G320+$J320+$K320)</f>
        <v/>
      </c>
      <c r="P320" s="41" t="str">
        <f aca="false">IF($L320="청산",$N320-$M320-$O320,"")</f>
        <v/>
      </c>
      <c r="Q320" s="42" t="str">
        <f aca="false">IF($L320="청산",IF($M320=0,"",$P320/$M320),"")</f>
        <v/>
      </c>
      <c r="R320" s="43" t="str">
        <f aca="true">IF($B320="","",IF($L320="청산",$H320-$D320,IF($D320="","",TODAY()-$D320)))</f>
        <v/>
      </c>
      <c r="S320" s="44" t="str">
        <f aca="false">IF($L320="청산",DATE(YEAR($H320),MONTH($H320),1),"")</f>
        <v/>
      </c>
      <c r="T320" s="48"/>
      <c r="U320" s="49"/>
      <c r="V320" s="46" t="str">
        <f aca="false">IF($B320="","",IF($L320&lt;&gt;"청산",N(V319),IF($P320&gt;0,N(V319)+1,0)))</f>
        <v/>
      </c>
      <c r="W320" s="46" t="str">
        <f aca="false">IF($B320="","",IF($L320&lt;&gt;"청산",N(W319),IF($P320&lt;0,N(W319)+1,0)))</f>
        <v/>
      </c>
    </row>
    <row r="321" customFormat="false" ht="15" hidden="false" customHeight="false" outlineLevel="0" collapsed="false">
      <c r="A321" s="32" t="str">
        <f aca="false">IF($B321="","",ROW()-5)</f>
        <v/>
      </c>
      <c r="B321" s="48"/>
      <c r="C321" s="49"/>
      <c r="D321" s="50"/>
      <c r="E321" s="51"/>
      <c r="F321" s="52"/>
      <c r="G321" s="53"/>
      <c r="H321" s="50"/>
      <c r="I321" s="51"/>
      <c r="J321" s="53"/>
      <c r="K321" s="53"/>
      <c r="L321" s="39" t="str">
        <f aca="false">IF($B321="","",IF($H321="","보유중","청산"))</f>
        <v/>
      </c>
      <c r="M321" s="40" t="str">
        <f aca="false">IF($B321="","",$E321*$F321)</f>
        <v/>
      </c>
      <c r="N321" s="40" t="str">
        <f aca="false">IF($L321="청산",$I321*$F321,"")</f>
        <v/>
      </c>
      <c r="O321" s="40" t="str">
        <f aca="false">IF($B321="","",$G321+$J321+$K321)</f>
        <v/>
      </c>
      <c r="P321" s="41" t="str">
        <f aca="false">IF($L321="청산",$N321-$M321-$O321,"")</f>
        <v/>
      </c>
      <c r="Q321" s="42" t="str">
        <f aca="false">IF($L321="청산",IF($M321=0,"",$P321/$M321),"")</f>
        <v/>
      </c>
      <c r="R321" s="43" t="str">
        <f aca="true">IF($B321="","",IF($L321="청산",$H321-$D321,IF($D321="","",TODAY()-$D321)))</f>
        <v/>
      </c>
      <c r="S321" s="44" t="str">
        <f aca="false">IF($L321="청산",DATE(YEAR($H321),MONTH($H321),1),"")</f>
        <v/>
      </c>
      <c r="T321" s="48"/>
      <c r="U321" s="49"/>
      <c r="V321" s="46" t="str">
        <f aca="false">IF($B321="","",IF($L321&lt;&gt;"청산",N(V320),IF($P321&gt;0,N(V320)+1,0)))</f>
        <v/>
      </c>
      <c r="W321" s="46" t="str">
        <f aca="false">IF($B321="","",IF($L321&lt;&gt;"청산",N(W320),IF($P321&lt;0,N(W320)+1,0)))</f>
        <v/>
      </c>
    </row>
    <row r="322" customFormat="false" ht="15" hidden="false" customHeight="false" outlineLevel="0" collapsed="false">
      <c r="A322" s="32" t="str">
        <f aca="false">IF($B322="","",ROW()-5)</f>
        <v/>
      </c>
      <c r="B322" s="48"/>
      <c r="C322" s="49"/>
      <c r="D322" s="50"/>
      <c r="E322" s="51"/>
      <c r="F322" s="52"/>
      <c r="G322" s="53"/>
      <c r="H322" s="50"/>
      <c r="I322" s="51"/>
      <c r="J322" s="53"/>
      <c r="K322" s="53"/>
      <c r="L322" s="39" t="str">
        <f aca="false">IF($B322="","",IF($H322="","보유중","청산"))</f>
        <v/>
      </c>
      <c r="M322" s="40" t="str">
        <f aca="false">IF($B322="","",$E322*$F322)</f>
        <v/>
      </c>
      <c r="N322" s="40" t="str">
        <f aca="false">IF($L322="청산",$I322*$F322,"")</f>
        <v/>
      </c>
      <c r="O322" s="40" t="str">
        <f aca="false">IF($B322="","",$G322+$J322+$K322)</f>
        <v/>
      </c>
      <c r="P322" s="41" t="str">
        <f aca="false">IF($L322="청산",$N322-$M322-$O322,"")</f>
        <v/>
      </c>
      <c r="Q322" s="42" t="str">
        <f aca="false">IF($L322="청산",IF($M322=0,"",$P322/$M322),"")</f>
        <v/>
      </c>
      <c r="R322" s="43" t="str">
        <f aca="true">IF($B322="","",IF($L322="청산",$H322-$D322,IF($D322="","",TODAY()-$D322)))</f>
        <v/>
      </c>
      <c r="S322" s="44" t="str">
        <f aca="false">IF($L322="청산",DATE(YEAR($H322),MONTH($H322),1),"")</f>
        <v/>
      </c>
      <c r="T322" s="48"/>
      <c r="U322" s="49"/>
      <c r="V322" s="46" t="str">
        <f aca="false">IF($B322="","",IF($L322&lt;&gt;"청산",N(V321),IF($P322&gt;0,N(V321)+1,0)))</f>
        <v/>
      </c>
      <c r="W322" s="46" t="str">
        <f aca="false">IF($B322="","",IF($L322&lt;&gt;"청산",N(W321),IF($P322&lt;0,N(W321)+1,0)))</f>
        <v/>
      </c>
    </row>
    <row r="323" customFormat="false" ht="15" hidden="false" customHeight="false" outlineLevel="0" collapsed="false">
      <c r="A323" s="32" t="str">
        <f aca="false">IF($B323="","",ROW()-5)</f>
        <v/>
      </c>
      <c r="B323" s="48"/>
      <c r="C323" s="49"/>
      <c r="D323" s="50"/>
      <c r="E323" s="51"/>
      <c r="F323" s="52"/>
      <c r="G323" s="53"/>
      <c r="H323" s="50"/>
      <c r="I323" s="51"/>
      <c r="J323" s="53"/>
      <c r="K323" s="53"/>
      <c r="L323" s="39" t="str">
        <f aca="false">IF($B323="","",IF($H323="","보유중","청산"))</f>
        <v/>
      </c>
      <c r="M323" s="40" t="str">
        <f aca="false">IF($B323="","",$E323*$F323)</f>
        <v/>
      </c>
      <c r="N323" s="40" t="str">
        <f aca="false">IF($L323="청산",$I323*$F323,"")</f>
        <v/>
      </c>
      <c r="O323" s="40" t="str">
        <f aca="false">IF($B323="","",$G323+$J323+$K323)</f>
        <v/>
      </c>
      <c r="P323" s="41" t="str">
        <f aca="false">IF($L323="청산",$N323-$M323-$O323,"")</f>
        <v/>
      </c>
      <c r="Q323" s="42" t="str">
        <f aca="false">IF($L323="청산",IF($M323=0,"",$P323/$M323),"")</f>
        <v/>
      </c>
      <c r="R323" s="43" t="str">
        <f aca="true">IF($B323="","",IF($L323="청산",$H323-$D323,IF($D323="","",TODAY()-$D323)))</f>
        <v/>
      </c>
      <c r="S323" s="44" t="str">
        <f aca="false">IF($L323="청산",DATE(YEAR($H323),MONTH($H323),1),"")</f>
        <v/>
      </c>
      <c r="T323" s="48"/>
      <c r="U323" s="49"/>
      <c r="V323" s="46" t="str">
        <f aca="false">IF($B323="","",IF($L323&lt;&gt;"청산",N(V322),IF($P323&gt;0,N(V322)+1,0)))</f>
        <v/>
      </c>
      <c r="W323" s="46" t="str">
        <f aca="false">IF($B323="","",IF($L323&lt;&gt;"청산",N(W322),IF($P323&lt;0,N(W322)+1,0)))</f>
        <v/>
      </c>
    </row>
    <row r="324" customFormat="false" ht="15" hidden="false" customHeight="false" outlineLevel="0" collapsed="false">
      <c r="A324" s="32" t="str">
        <f aca="false">IF($B324="","",ROW()-5)</f>
        <v/>
      </c>
      <c r="B324" s="48"/>
      <c r="C324" s="49"/>
      <c r="D324" s="50"/>
      <c r="E324" s="51"/>
      <c r="F324" s="52"/>
      <c r="G324" s="53"/>
      <c r="H324" s="50"/>
      <c r="I324" s="51"/>
      <c r="J324" s="53"/>
      <c r="K324" s="53"/>
      <c r="L324" s="39" t="str">
        <f aca="false">IF($B324="","",IF($H324="","보유중","청산"))</f>
        <v/>
      </c>
      <c r="M324" s="40" t="str">
        <f aca="false">IF($B324="","",$E324*$F324)</f>
        <v/>
      </c>
      <c r="N324" s="40" t="str">
        <f aca="false">IF($L324="청산",$I324*$F324,"")</f>
        <v/>
      </c>
      <c r="O324" s="40" t="str">
        <f aca="false">IF($B324="","",$G324+$J324+$K324)</f>
        <v/>
      </c>
      <c r="P324" s="41" t="str">
        <f aca="false">IF($L324="청산",$N324-$M324-$O324,"")</f>
        <v/>
      </c>
      <c r="Q324" s="42" t="str">
        <f aca="false">IF($L324="청산",IF($M324=0,"",$P324/$M324),"")</f>
        <v/>
      </c>
      <c r="R324" s="43" t="str">
        <f aca="true">IF($B324="","",IF($L324="청산",$H324-$D324,IF($D324="","",TODAY()-$D324)))</f>
        <v/>
      </c>
      <c r="S324" s="44" t="str">
        <f aca="false">IF($L324="청산",DATE(YEAR($H324),MONTH($H324),1),"")</f>
        <v/>
      </c>
      <c r="T324" s="48"/>
      <c r="U324" s="49"/>
      <c r="V324" s="46" t="str">
        <f aca="false">IF($B324="","",IF($L324&lt;&gt;"청산",N(V323),IF($P324&gt;0,N(V323)+1,0)))</f>
        <v/>
      </c>
      <c r="W324" s="46" t="str">
        <f aca="false">IF($B324="","",IF($L324&lt;&gt;"청산",N(W323),IF($P324&lt;0,N(W323)+1,0)))</f>
        <v/>
      </c>
    </row>
    <row r="325" customFormat="false" ht="15" hidden="false" customHeight="false" outlineLevel="0" collapsed="false">
      <c r="A325" s="32" t="str">
        <f aca="false">IF($B325="","",ROW()-5)</f>
        <v/>
      </c>
      <c r="B325" s="48"/>
      <c r="C325" s="49"/>
      <c r="D325" s="50"/>
      <c r="E325" s="51"/>
      <c r="F325" s="52"/>
      <c r="G325" s="53"/>
      <c r="H325" s="50"/>
      <c r="I325" s="51"/>
      <c r="J325" s="53"/>
      <c r="K325" s="53"/>
      <c r="L325" s="39" t="str">
        <f aca="false">IF($B325="","",IF($H325="","보유중","청산"))</f>
        <v/>
      </c>
      <c r="M325" s="40" t="str">
        <f aca="false">IF($B325="","",$E325*$F325)</f>
        <v/>
      </c>
      <c r="N325" s="40" t="str">
        <f aca="false">IF($L325="청산",$I325*$F325,"")</f>
        <v/>
      </c>
      <c r="O325" s="40" t="str">
        <f aca="false">IF($B325="","",$G325+$J325+$K325)</f>
        <v/>
      </c>
      <c r="P325" s="41" t="str">
        <f aca="false">IF($L325="청산",$N325-$M325-$O325,"")</f>
        <v/>
      </c>
      <c r="Q325" s="42" t="str">
        <f aca="false">IF($L325="청산",IF($M325=0,"",$P325/$M325),"")</f>
        <v/>
      </c>
      <c r="R325" s="43" t="str">
        <f aca="true">IF($B325="","",IF($L325="청산",$H325-$D325,IF($D325="","",TODAY()-$D325)))</f>
        <v/>
      </c>
      <c r="S325" s="44" t="str">
        <f aca="false">IF($L325="청산",DATE(YEAR($H325),MONTH($H325),1),"")</f>
        <v/>
      </c>
      <c r="T325" s="48"/>
      <c r="U325" s="49"/>
      <c r="V325" s="46" t="str">
        <f aca="false">IF($B325="","",IF($L325&lt;&gt;"청산",N(V324),IF($P325&gt;0,N(V324)+1,0)))</f>
        <v/>
      </c>
      <c r="W325" s="46" t="str">
        <f aca="false">IF($B325="","",IF($L325&lt;&gt;"청산",N(W324),IF($P325&lt;0,N(W324)+1,0)))</f>
        <v/>
      </c>
    </row>
    <row r="326" customFormat="false" ht="15" hidden="false" customHeight="false" outlineLevel="0" collapsed="false">
      <c r="A326" s="32" t="str">
        <f aca="false">IF($B326="","",ROW()-5)</f>
        <v/>
      </c>
      <c r="B326" s="48"/>
      <c r="C326" s="49"/>
      <c r="D326" s="50"/>
      <c r="E326" s="51"/>
      <c r="F326" s="52"/>
      <c r="G326" s="53"/>
      <c r="H326" s="50"/>
      <c r="I326" s="51"/>
      <c r="J326" s="53"/>
      <c r="K326" s="53"/>
      <c r="L326" s="39" t="str">
        <f aca="false">IF($B326="","",IF($H326="","보유중","청산"))</f>
        <v/>
      </c>
      <c r="M326" s="40" t="str">
        <f aca="false">IF($B326="","",$E326*$F326)</f>
        <v/>
      </c>
      <c r="N326" s="40" t="str">
        <f aca="false">IF($L326="청산",$I326*$F326,"")</f>
        <v/>
      </c>
      <c r="O326" s="40" t="str">
        <f aca="false">IF($B326="","",$G326+$J326+$K326)</f>
        <v/>
      </c>
      <c r="P326" s="41" t="str">
        <f aca="false">IF($L326="청산",$N326-$M326-$O326,"")</f>
        <v/>
      </c>
      <c r="Q326" s="42" t="str">
        <f aca="false">IF($L326="청산",IF($M326=0,"",$P326/$M326),"")</f>
        <v/>
      </c>
      <c r="R326" s="43" t="str">
        <f aca="true">IF($B326="","",IF($L326="청산",$H326-$D326,IF($D326="","",TODAY()-$D326)))</f>
        <v/>
      </c>
      <c r="S326" s="44" t="str">
        <f aca="false">IF($L326="청산",DATE(YEAR($H326),MONTH($H326),1),"")</f>
        <v/>
      </c>
      <c r="T326" s="48"/>
      <c r="U326" s="49"/>
      <c r="V326" s="46" t="str">
        <f aca="false">IF($B326="","",IF($L326&lt;&gt;"청산",N(V325),IF($P326&gt;0,N(V325)+1,0)))</f>
        <v/>
      </c>
      <c r="W326" s="46" t="str">
        <f aca="false">IF($B326="","",IF($L326&lt;&gt;"청산",N(W325),IF($P326&lt;0,N(W325)+1,0)))</f>
        <v/>
      </c>
    </row>
    <row r="327" customFormat="false" ht="15" hidden="false" customHeight="false" outlineLevel="0" collapsed="false">
      <c r="A327" s="32" t="str">
        <f aca="false">IF($B327="","",ROW()-5)</f>
        <v/>
      </c>
      <c r="B327" s="48"/>
      <c r="C327" s="49"/>
      <c r="D327" s="50"/>
      <c r="E327" s="51"/>
      <c r="F327" s="52"/>
      <c r="G327" s="53"/>
      <c r="H327" s="50"/>
      <c r="I327" s="51"/>
      <c r="J327" s="53"/>
      <c r="K327" s="53"/>
      <c r="L327" s="39" t="str">
        <f aca="false">IF($B327="","",IF($H327="","보유중","청산"))</f>
        <v/>
      </c>
      <c r="M327" s="40" t="str">
        <f aca="false">IF($B327="","",$E327*$F327)</f>
        <v/>
      </c>
      <c r="N327" s="40" t="str">
        <f aca="false">IF($L327="청산",$I327*$F327,"")</f>
        <v/>
      </c>
      <c r="O327" s="40" t="str">
        <f aca="false">IF($B327="","",$G327+$J327+$K327)</f>
        <v/>
      </c>
      <c r="P327" s="41" t="str">
        <f aca="false">IF($L327="청산",$N327-$M327-$O327,"")</f>
        <v/>
      </c>
      <c r="Q327" s="42" t="str">
        <f aca="false">IF($L327="청산",IF($M327=0,"",$P327/$M327),"")</f>
        <v/>
      </c>
      <c r="R327" s="43" t="str">
        <f aca="true">IF($B327="","",IF($L327="청산",$H327-$D327,IF($D327="","",TODAY()-$D327)))</f>
        <v/>
      </c>
      <c r="S327" s="44" t="str">
        <f aca="false">IF($L327="청산",DATE(YEAR($H327),MONTH($H327),1),"")</f>
        <v/>
      </c>
      <c r="T327" s="48"/>
      <c r="U327" s="49"/>
      <c r="V327" s="46" t="str">
        <f aca="false">IF($B327="","",IF($L327&lt;&gt;"청산",N(V326),IF($P327&gt;0,N(V326)+1,0)))</f>
        <v/>
      </c>
      <c r="W327" s="46" t="str">
        <f aca="false">IF($B327="","",IF($L327&lt;&gt;"청산",N(W326),IF($P327&lt;0,N(W326)+1,0)))</f>
        <v/>
      </c>
    </row>
    <row r="328" customFormat="false" ht="15" hidden="false" customHeight="false" outlineLevel="0" collapsed="false">
      <c r="A328" s="32" t="str">
        <f aca="false">IF($B328="","",ROW()-5)</f>
        <v/>
      </c>
      <c r="B328" s="48"/>
      <c r="C328" s="49"/>
      <c r="D328" s="50"/>
      <c r="E328" s="51"/>
      <c r="F328" s="52"/>
      <c r="G328" s="53"/>
      <c r="H328" s="50"/>
      <c r="I328" s="51"/>
      <c r="J328" s="53"/>
      <c r="K328" s="53"/>
      <c r="L328" s="39" t="str">
        <f aca="false">IF($B328="","",IF($H328="","보유중","청산"))</f>
        <v/>
      </c>
      <c r="M328" s="40" t="str">
        <f aca="false">IF($B328="","",$E328*$F328)</f>
        <v/>
      </c>
      <c r="N328" s="40" t="str">
        <f aca="false">IF($L328="청산",$I328*$F328,"")</f>
        <v/>
      </c>
      <c r="O328" s="40" t="str">
        <f aca="false">IF($B328="","",$G328+$J328+$K328)</f>
        <v/>
      </c>
      <c r="P328" s="41" t="str">
        <f aca="false">IF($L328="청산",$N328-$M328-$O328,"")</f>
        <v/>
      </c>
      <c r="Q328" s="42" t="str">
        <f aca="false">IF($L328="청산",IF($M328=0,"",$P328/$M328),"")</f>
        <v/>
      </c>
      <c r="R328" s="43" t="str">
        <f aca="true">IF($B328="","",IF($L328="청산",$H328-$D328,IF($D328="","",TODAY()-$D328)))</f>
        <v/>
      </c>
      <c r="S328" s="44" t="str">
        <f aca="false">IF($L328="청산",DATE(YEAR($H328),MONTH($H328),1),"")</f>
        <v/>
      </c>
      <c r="T328" s="48"/>
      <c r="U328" s="49"/>
      <c r="V328" s="46" t="str">
        <f aca="false">IF($B328="","",IF($L328&lt;&gt;"청산",N(V327),IF($P328&gt;0,N(V327)+1,0)))</f>
        <v/>
      </c>
      <c r="W328" s="46" t="str">
        <f aca="false">IF($B328="","",IF($L328&lt;&gt;"청산",N(W327),IF($P328&lt;0,N(W327)+1,0)))</f>
        <v/>
      </c>
    </row>
    <row r="329" customFormat="false" ht="15" hidden="false" customHeight="false" outlineLevel="0" collapsed="false">
      <c r="A329" s="32" t="str">
        <f aca="false">IF($B329="","",ROW()-5)</f>
        <v/>
      </c>
      <c r="B329" s="48"/>
      <c r="C329" s="49"/>
      <c r="D329" s="50"/>
      <c r="E329" s="51"/>
      <c r="F329" s="52"/>
      <c r="G329" s="53"/>
      <c r="H329" s="50"/>
      <c r="I329" s="51"/>
      <c r="J329" s="53"/>
      <c r="K329" s="53"/>
      <c r="L329" s="39" t="str">
        <f aca="false">IF($B329="","",IF($H329="","보유중","청산"))</f>
        <v/>
      </c>
      <c r="M329" s="40" t="str">
        <f aca="false">IF($B329="","",$E329*$F329)</f>
        <v/>
      </c>
      <c r="N329" s="40" t="str">
        <f aca="false">IF($L329="청산",$I329*$F329,"")</f>
        <v/>
      </c>
      <c r="O329" s="40" t="str">
        <f aca="false">IF($B329="","",$G329+$J329+$K329)</f>
        <v/>
      </c>
      <c r="P329" s="41" t="str">
        <f aca="false">IF($L329="청산",$N329-$M329-$O329,"")</f>
        <v/>
      </c>
      <c r="Q329" s="42" t="str">
        <f aca="false">IF($L329="청산",IF($M329=0,"",$P329/$M329),"")</f>
        <v/>
      </c>
      <c r="R329" s="43" t="str">
        <f aca="true">IF($B329="","",IF($L329="청산",$H329-$D329,IF($D329="","",TODAY()-$D329)))</f>
        <v/>
      </c>
      <c r="S329" s="44" t="str">
        <f aca="false">IF($L329="청산",DATE(YEAR($H329),MONTH($H329),1),"")</f>
        <v/>
      </c>
      <c r="T329" s="48"/>
      <c r="U329" s="49"/>
      <c r="V329" s="46" t="str">
        <f aca="false">IF($B329="","",IF($L329&lt;&gt;"청산",N(V328),IF($P329&gt;0,N(V328)+1,0)))</f>
        <v/>
      </c>
      <c r="W329" s="46" t="str">
        <f aca="false">IF($B329="","",IF($L329&lt;&gt;"청산",N(W328),IF($P329&lt;0,N(W328)+1,0)))</f>
        <v/>
      </c>
    </row>
    <row r="330" customFormat="false" ht="15" hidden="false" customHeight="false" outlineLevel="0" collapsed="false">
      <c r="A330" s="32" t="str">
        <f aca="false">IF($B330="","",ROW()-5)</f>
        <v/>
      </c>
      <c r="B330" s="48"/>
      <c r="C330" s="49"/>
      <c r="D330" s="50"/>
      <c r="E330" s="51"/>
      <c r="F330" s="52"/>
      <c r="G330" s="53"/>
      <c r="H330" s="50"/>
      <c r="I330" s="51"/>
      <c r="J330" s="53"/>
      <c r="K330" s="53"/>
      <c r="L330" s="39" t="str">
        <f aca="false">IF($B330="","",IF($H330="","보유중","청산"))</f>
        <v/>
      </c>
      <c r="M330" s="40" t="str">
        <f aca="false">IF($B330="","",$E330*$F330)</f>
        <v/>
      </c>
      <c r="N330" s="40" t="str">
        <f aca="false">IF($L330="청산",$I330*$F330,"")</f>
        <v/>
      </c>
      <c r="O330" s="40" t="str">
        <f aca="false">IF($B330="","",$G330+$J330+$K330)</f>
        <v/>
      </c>
      <c r="P330" s="41" t="str">
        <f aca="false">IF($L330="청산",$N330-$M330-$O330,"")</f>
        <v/>
      </c>
      <c r="Q330" s="42" t="str">
        <f aca="false">IF($L330="청산",IF($M330=0,"",$P330/$M330),"")</f>
        <v/>
      </c>
      <c r="R330" s="43" t="str">
        <f aca="true">IF($B330="","",IF($L330="청산",$H330-$D330,IF($D330="","",TODAY()-$D330)))</f>
        <v/>
      </c>
      <c r="S330" s="44" t="str">
        <f aca="false">IF($L330="청산",DATE(YEAR($H330),MONTH($H330),1),"")</f>
        <v/>
      </c>
      <c r="T330" s="48"/>
      <c r="U330" s="49"/>
      <c r="V330" s="46" t="str">
        <f aca="false">IF($B330="","",IF($L330&lt;&gt;"청산",N(V329),IF($P330&gt;0,N(V329)+1,0)))</f>
        <v/>
      </c>
      <c r="W330" s="46" t="str">
        <f aca="false">IF($B330="","",IF($L330&lt;&gt;"청산",N(W329),IF($P330&lt;0,N(W329)+1,0)))</f>
        <v/>
      </c>
    </row>
    <row r="331" customFormat="false" ht="15" hidden="false" customHeight="false" outlineLevel="0" collapsed="false">
      <c r="A331" s="32" t="str">
        <f aca="false">IF($B331="","",ROW()-5)</f>
        <v/>
      </c>
      <c r="B331" s="48"/>
      <c r="C331" s="49"/>
      <c r="D331" s="50"/>
      <c r="E331" s="51"/>
      <c r="F331" s="52"/>
      <c r="G331" s="53"/>
      <c r="H331" s="50"/>
      <c r="I331" s="51"/>
      <c r="J331" s="53"/>
      <c r="K331" s="53"/>
      <c r="L331" s="39" t="str">
        <f aca="false">IF($B331="","",IF($H331="","보유중","청산"))</f>
        <v/>
      </c>
      <c r="M331" s="40" t="str">
        <f aca="false">IF($B331="","",$E331*$F331)</f>
        <v/>
      </c>
      <c r="N331" s="40" t="str">
        <f aca="false">IF($L331="청산",$I331*$F331,"")</f>
        <v/>
      </c>
      <c r="O331" s="40" t="str">
        <f aca="false">IF($B331="","",$G331+$J331+$K331)</f>
        <v/>
      </c>
      <c r="P331" s="41" t="str">
        <f aca="false">IF($L331="청산",$N331-$M331-$O331,"")</f>
        <v/>
      </c>
      <c r="Q331" s="42" t="str">
        <f aca="false">IF($L331="청산",IF($M331=0,"",$P331/$M331),"")</f>
        <v/>
      </c>
      <c r="R331" s="43" t="str">
        <f aca="true">IF($B331="","",IF($L331="청산",$H331-$D331,IF($D331="","",TODAY()-$D331)))</f>
        <v/>
      </c>
      <c r="S331" s="44" t="str">
        <f aca="false">IF($L331="청산",DATE(YEAR($H331),MONTH($H331),1),"")</f>
        <v/>
      </c>
      <c r="T331" s="48"/>
      <c r="U331" s="49"/>
      <c r="V331" s="46" t="str">
        <f aca="false">IF($B331="","",IF($L331&lt;&gt;"청산",N(V330),IF($P331&gt;0,N(V330)+1,0)))</f>
        <v/>
      </c>
      <c r="W331" s="46" t="str">
        <f aca="false">IF($B331="","",IF($L331&lt;&gt;"청산",N(W330),IF($P331&lt;0,N(W330)+1,0)))</f>
        <v/>
      </c>
    </row>
    <row r="332" customFormat="false" ht="15" hidden="false" customHeight="false" outlineLevel="0" collapsed="false">
      <c r="A332" s="32" t="str">
        <f aca="false">IF($B332="","",ROW()-5)</f>
        <v/>
      </c>
      <c r="B332" s="48"/>
      <c r="C332" s="49"/>
      <c r="D332" s="50"/>
      <c r="E332" s="51"/>
      <c r="F332" s="52"/>
      <c r="G332" s="53"/>
      <c r="H332" s="50"/>
      <c r="I332" s="51"/>
      <c r="J332" s="53"/>
      <c r="K332" s="53"/>
      <c r="L332" s="39" t="str">
        <f aca="false">IF($B332="","",IF($H332="","보유중","청산"))</f>
        <v/>
      </c>
      <c r="M332" s="40" t="str">
        <f aca="false">IF($B332="","",$E332*$F332)</f>
        <v/>
      </c>
      <c r="N332" s="40" t="str">
        <f aca="false">IF($L332="청산",$I332*$F332,"")</f>
        <v/>
      </c>
      <c r="O332" s="40" t="str">
        <f aca="false">IF($B332="","",$G332+$J332+$K332)</f>
        <v/>
      </c>
      <c r="P332" s="41" t="str">
        <f aca="false">IF($L332="청산",$N332-$M332-$O332,"")</f>
        <v/>
      </c>
      <c r="Q332" s="42" t="str">
        <f aca="false">IF($L332="청산",IF($M332=0,"",$P332/$M332),"")</f>
        <v/>
      </c>
      <c r="R332" s="43" t="str">
        <f aca="true">IF($B332="","",IF($L332="청산",$H332-$D332,IF($D332="","",TODAY()-$D332)))</f>
        <v/>
      </c>
      <c r="S332" s="44" t="str">
        <f aca="false">IF($L332="청산",DATE(YEAR($H332),MONTH($H332),1),"")</f>
        <v/>
      </c>
      <c r="T332" s="48"/>
      <c r="U332" s="49"/>
      <c r="V332" s="46" t="str">
        <f aca="false">IF($B332="","",IF($L332&lt;&gt;"청산",N(V331),IF($P332&gt;0,N(V331)+1,0)))</f>
        <v/>
      </c>
      <c r="W332" s="46" t="str">
        <f aca="false">IF($B332="","",IF($L332&lt;&gt;"청산",N(W331),IF($P332&lt;0,N(W331)+1,0)))</f>
        <v/>
      </c>
    </row>
    <row r="333" customFormat="false" ht="15" hidden="false" customHeight="false" outlineLevel="0" collapsed="false">
      <c r="A333" s="32" t="str">
        <f aca="false">IF($B333="","",ROW()-5)</f>
        <v/>
      </c>
      <c r="B333" s="48"/>
      <c r="C333" s="49"/>
      <c r="D333" s="50"/>
      <c r="E333" s="51"/>
      <c r="F333" s="52"/>
      <c r="G333" s="53"/>
      <c r="H333" s="50"/>
      <c r="I333" s="51"/>
      <c r="J333" s="53"/>
      <c r="K333" s="53"/>
      <c r="L333" s="39" t="str">
        <f aca="false">IF($B333="","",IF($H333="","보유중","청산"))</f>
        <v/>
      </c>
      <c r="M333" s="40" t="str">
        <f aca="false">IF($B333="","",$E333*$F333)</f>
        <v/>
      </c>
      <c r="N333" s="40" t="str">
        <f aca="false">IF($L333="청산",$I333*$F333,"")</f>
        <v/>
      </c>
      <c r="O333" s="40" t="str">
        <f aca="false">IF($B333="","",$G333+$J333+$K333)</f>
        <v/>
      </c>
      <c r="P333" s="41" t="str">
        <f aca="false">IF($L333="청산",$N333-$M333-$O333,"")</f>
        <v/>
      </c>
      <c r="Q333" s="42" t="str">
        <f aca="false">IF($L333="청산",IF($M333=0,"",$P333/$M333),"")</f>
        <v/>
      </c>
      <c r="R333" s="43" t="str">
        <f aca="true">IF($B333="","",IF($L333="청산",$H333-$D333,IF($D333="","",TODAY()-$D333)))</f>
        <v/>
      </c>
      <c r="S333" s="44" t="str">
        <f aca="false">IF($L333="청산",DATE(YEAR($H333),MONTH($H333),1),"")</f>
        <v/>
      </c>
      <c r="T333" s="48"/>
      <c r="U333" s="49"/>
      <c r="V333" s="46" t="str">
        <f aca="false">IF($B333="","",IF($L333&lt;&gt;"청산",N(V332),IF($P333&gt;0,N(V332)+1,0)))</f>
        <v/>
      </c>
      <c r="W333" s="46" t="str">
        <f aca="false">IF($B333="","",IF($L333&lt;&gt;"청산",N(W332),IF($P333&lt;0,N(W332)+1,0)))</f>
        <v/>
      </c>
    </row>
    <row r="334" customFormat="false" ht="15" hidden="false" customHeight="false" outlineLevel="0" collapsed="false">
      <c r="A334" s="32" t="str">
        <f aca="false">IF($B334="","",ROW()-5)</f>
        <v/>
      </c>
      <c r="B334" s="48"/>
      <c r="C334" s="49"/>
      <c r="D334" s="50"/>
      <c r="E334" s="51"/>
      <c r="F334" s="52"/>
      <c r="G334" s="53"/>
      <c r="H334" s="50"/>
      <c r="I334" s="51"/>
      <c r="J334" s="53"/>
      <c r="K334" s="53"/>
      <c r="L334" s="39" t="str">
        <f aca="false">IF($B334="","",IF($H334="","보유중","청산"))</f>
        <v/>
      </c>
      <c r="M334" s="40" t="str">
        <f aca="false">IF($B334="","",$E334*$F334)</f>
        <v/>
      </c>
      <c r="N334" s="40" t="str">
        <f aca="false">IF($L334="청산",$I334*$F334,"")</f>
        <v/>
      </c>
      <c r="O334" s="40" t="str">
        <f aca="false">IF($B334="","",$G334+$J334+$K334)</f>
        <v/>
      </c>
      <c r="P334" s="41" t="str">
        <f aca="false">IF($L334="청산",$N334-$M334-$O334,"")</f>
        <v/>
      </c>
      <c r="Q334" s="42" t="str">
        <f aca="false">IF($L334="청산",IF($M334=0,"",$P334/$M334),"")</f>
        <v/>
      </c>
      <c r="R334" s="43" t="str">
        <f aca="true">IF($B334="","",IF($L334="청산",$H334-$D334,IF($D334="","",TODAY()-$D334)))</f>
        <v/>
      </c>
      <c r="S334" s="44" t="str">
        <f aca="false">IF($L334="청산",DATE(YEAR($H334),MONTH($H334),1),"")</f>
        <v/>
      </c>
      <c r="T334" s="48"/>
      <c r="U334" s="49"/>
      <c r="V334" s="46" t="str">
        <f aca="false">IF($B334="","",IF($L334&lt;&gt;"청산",N(V333),IF($P334&gt;0,N(V333)+1,0)))</f>
        <v/>
      </c>
      <c r="W334" s="46" t="str">
        <f aca="false">IF($B334="","",IF($L334&lt;&gt;"청산",N(W333),IF($P334&lt;0,N(W333)+1,0)))</f>
        <v/>
      </c>
    </row>
    <row r="335" customFormat="false" ht="15" hidden="false" customHeight="false" outlineLevel="0" collapsed="false">
      <c r="A335" s="32" t="str">
        <f aca="false">IF($B335="","",ROW()-5)</f>
        <v/>
      </c>
      <c r="B335" s="48"/>
      <c r="C335" s="49"/>
      <c r="D335" s="50"/>
      <c r="E335" s="51"/>
      <c r="F335" s="52"/>
      <c r="G335" s="53"/>
      <c r="H335" s="50"/>
      <c r="I335" s="51"/>
      <c r="J335" s="53"/>
      <c r="K335" s="53"/>
      <c r="L335" s="39" t="str">
        <f aca="false">IF($B335="","",IF($H335="","보유중","청산"))</f>
        <v/>
      </c>
      <c r="M335" s="40" t="str">
        <f aca="false">IF($B335="","",$E335*$F335)</f>
        <v/>
      </c>
      <c r="N335" s="40" t="str">
        <f aca="false">IF($L335="청산",$I335*$F335,"")</f>
        <v/>
      </c>
      <c r="O335" s="40" t="str">
        <f aca="false">IF($B335="","",$G335+$J335+$K335)</f>
        <v/>
      </c>
      <c r="P335" s="41" t="str">
        <f aca="false">IF($L335="청산",$N335-$M335-$O335,"")</f>
        <v/>
      </c>
      <c r="Q335" s="42" t="str">
        <f aca="false">IF($L335="청산",IF($M335=0,"",$P335/$M335),"")</f>
        <v/>
      </c>
      <c r="R335" s="43" t="str">
        <f aca="true">IF($B335="","",IF($L335="청산",$H335-$D335,IF($D335="","",TODAY()-$D335)))</f>
        <v/>
      </c>
      <c r="S335" s="44" t="str">
        <f aca="false">IF($L335="청산",DATE(YEAR($H335),MONTH($H335),1),"")</f>
        <v/>
      </c>
      <c r="T335" s="48"/>
      <c r="U335" s="49"/>
      <c r="V335" s="46" t="str">
        <f aca="false">IF($B335="","",IF($L335&lt;&gt;"청산",N(V334),IF($P335&gt;0,N(V334)+1,0)))</f>
        <v/>
      </c>
      <c r="W335" s="46" t="str">
        <f aca="false">IF($B335="","",IF($L335&lt;&gt;"청산",N(W334),IF($P335&lt;0,N(W334)+1,0)))</f>
        <v/>
      </c>
    </row>
    <row r="336" customFormat="false" ht="15" hidden="false" customHeight="false" outlineLevel="0" collapsed="false">
      <c r="A336" s="32" t="str">
        <f aca="false">IF($B336="","",ROW()-5)</f>
        <v/>
      </c>
      <c r="B336" s="48"/>
      <c r="C336" s="49"/>
      <c r="D336" s="50"/>
      <c r="E336" s="51"/>
      <c r="F336" s="52"/>
      <c r="G336" s="53"/>
      <c r="H336" s="50"/>
      <c r="I336" s="51"/>
      <c r="J336" s="53"/>
      <c r="K336" s="53"/>
      <c r="L336" s="39" t="str">
        <f aca="false">IF($B336="","",IF($H336="","보유중","청산"))</f>
        <v/>
      </c>
      <c r="M336" s="40" t="str">
        <f aca="false">IF($B336="","",$E336*$F336)</f>
        <v/>
      </c>
      <c r="N336" s="40" t="str">
        <f aca="false">IF($L336="청산",$I336*$F336,"")</f>
        <v/>
      </c>
      <c r="O336" s="40" t="str">
        <f aca="false">IF($B336="","",$G336+$J336+$K336)</f>
        <v/>
      </c>
      <c r="P336" s="41" t="str">
        <f aca="false">IF($L336="청산",$N336-$M336-$O336,"")</f>
        <v/>
      </c>
      <c r="Q336" s="42" t="str">
        <f aca="false">IF($L336="청산",IF($M336=0,"",$P336/$M336),"")</f>
        <v/>
      </c>
      <c r="R336" s="43" t="str">
        <f aca="true">IF($B336="","",IF($L336="청산",$H336-$D336,IF($D336="","",TODAY()-$D336)))</f>
        <v/>
      </c>
      <c r="S336" s="44" t="str">
        <f aca="false">IF($L336="청산",DATE(YEAR($H336),MONTH($H336),1),"")</f>
        <v/>
      </c>
      <c r="T336" s="48"/>
      <c r="U336" s="49"/>
      <c r="V336" s="46" t="str">
        <f aca="false">IF($B336="","",IF($L336&lt;&gt;"청산",N(V335),IF($P336&gt;0,N(V335)+1,0)))</f>
        <v/>
      </c>
      <c r="W336" s="46" t="str">
        <f aca="false">IF($B336="","",IF($L336&lt;&gt;"청산",N(W335),IF($P336&lt;0,N(W335)+1,0)))</f>
        <v/>
      </c>
    </row>
    <row r="337" customFormat="false" ht="15" hidden="false" customHeight="false" outlineLevel="0" collapsed="false">
      <c r="A337" s="32" t="str">
        <f aca="false">IF($B337="","",ROW()-5)</f>
        <v/>
      </c>
      <c r="B337" s="48"/>
      <c r="C337" s="49"/>
      <c r="D337" s="50"/>
      <c r="E337" s="51"/>
      <c r="F337" s="52"/>
      <c r="G337" s="53"/>
      <c r="H337" s="50"/>
      <c r="I337" s="51"/>
      <c r="J337" s="53"/>
      <c r="K337" s="53"/>
      <c r="L337" s="39" t="str">
        <f aca="false">IF($B337="","",IF($H337="","보유중","청산"))</f>
        <v/>
      </c>
      <c r="M337" s="40" t="str">
        <f aca="false">IF($B337="","",$E337*$F337)</f>
        <v/>
      </c>
      <c r="N337" s="40" t="str">
        <f aca="false">IF($L337="청산",$I337*$F337,"")</f>
        <v/>
      </c>
      <c r="O337" s="40" t="str">
        <f aca="false">IF($B337="","",$G337+$J337+$K337)</f>
        <v/>
      </c>
      <c r="P337" s="41" t="str">
        <f aca="false">IF($L337="청산",$N337-$M337-$O337,"")</f>
        <v/>
      </c>
      <c r="Q337" s="42" t="str">
        <f aca="false">IF($L337="청산",IF($M337=0,"",$P337/$M337),"")</f>
        <v/>
      </c>
      <c r="R337" s="43" t="str">
        <f aca="true">IF($B337="","",IF($L337="청산",$H337-$D337,IF($D337="","",TODAY()-$D337)))</f>
        <v/>
      </c>
      <c r="S337" s="44" t="str">
        <f aca="false">IF($L337="청산",DATE(YEAR($H337),MONTH($H337),1),"")</f>
        <v/>
      </c>
      <c r="T337" s="48"/>
      <c r="U337" s="49"/>
      <c r="V337" s="46" t="str">
        <f aca="false">IF($B337="","",IF($L337&lt;&gt;"청산",N(V336),IF($P337&gt;0,N(V336)+1,0)))</f>
        <v/>
      </c>
      <c r="W337" s="46" t="str">
        <f aca="false">IF($B337="","",IF($L337&lt;&gt;"청산",N(W336),IF($P337&lt;0,N(W336)+1,0)))</f>
        <v/>
      </c>
    </row>
    <row r="338" customFormat="false" ht="15" hidden="false" customHeight="false" outlineLevel="0" collapsed="false">
      <c r="A338" s="32" t="str">
        <f aca="false">IF($B338="","",ROW()-5)</f>
        <v/>
      </c>
      <c r="B338" s="48"/>
      <c r="C338" s="49"/>
      <c r="D338" s="50"/>
      <c r="E338" s="51"/>
      <c r="F338" s="52"/>
      <c r="G338" s="53"/>
      <c r="H338" s="50"/>
      <c r="I338" s="51"/>
      <c r="J338" s="53"/>
      <c r="K338" s="53"/>
      <c r="L338" s="39" t="str">
        <f aca="false">IF($B338="","",IF($H338="","보유중","청산"))</f>
        <v/>
      </c>
      <c r="M338" s="40" t="str">
        <f aca="false">IF($B338="","",$E338*$F338)</f>
        <v/>
      </c>
      <c r="N338" s="40" t="str">
        <f aca="false">IF($L338="청산",$I338*$F338,"")</f>
        <v/>
      </c>
      <c r="O338" s="40" t="str">
        <f aca="false">IF($B338="","",$G338+$J338+$K338)</f>
        <v/>
      </c>
      <c r="P338" s="41" t="str">
        <f aca="false">IF($L338="청산",$N338-$M338-$O338,"")</f>
        <v/>
      </c>
      <c r="Q338" s="42" t="str">
        <f aca="false">IF($L338="청산",IF($M338=0,"",$P338/$M338),"")</f>
        <v/>
      </c>
      <c r="R338" s="43" t="str">
        <f aca="true">IF($B338="","",IF($L338="청산",$H338-$D338,IF($D338="","",TODAY()-$D338)))</f>
        <v/>
      </c>
      <c r="S338" s="44" t="str">
        <f aca="false">IF($L338="청산",DATE(YEAR($H338),MONTH($H338),1),"")</f>
        <v/>
      </c>
      <c r="T338" s="48"/>
      <c r="U338" s="49"/>
      <c r="V338" s="46" t="str">
        <f aca="false">IF($B338="","",IF($L338&lt;&gt;"청산",N(V337),IF($P338&gt;0,N(V337)+1,0)))</f>
        <v/>
      </c>
      <c r="W338" s="46" t="str">
        <f aca="false">IF($B338="","",IF($L338&lt;&gt;"청산",N(W337),IF($P338&lt;0,N(W337)+1,0)))</f>
        <v/>
      </c>
    </row>
    <row r="339" customFormat="false" ht="15" hidden="false" customHeight="false" outlineLevel="0" collapsed="false">
      <c r="A339" s="32" t="str">
        <f aca="false">IF($B339="","",ROW()-5)</f>
        <v/>
      </c>
      <c r="B339" s="48"/>
      <c r="C339" s="49"/>
      <c r="D339" s="50"/>
      <c r="E339" s="51"/>
      <c r="F339" s="52"/>
      <c r="G339" s="53"/>
      <c r="H339" s="50"/>
      <c r="I339" s="51"/>
      <c r="J339" s="53"/>
      <c r="K339" s="53"/>
      <c r="L339" s="39" t="str">
        <f aca="false">IF($B339="","",IF($H339="","보유중","청산"))</f>
        <v/>
      </c>
      <c r="M339" s="40" t="str">
        <f aca="false">IF($B339="","",$E339*$F339)</f>
        <v/>
      </c>
      <c r="N339" s="40" t="str">
        <f aca="false">IF($L339="청산",$I339*$F339,"")</f>
        <v/>
      </c>
      <c r="O339" s="40" t="str">
        <f aca="false">IF($B339="","",$G339+$J339+$K339)</f>
        <v/>
      </c>
      <c r="P339" s="41" t="str">
        <f aca="false">IF($L339="청산",$N339-$M339-$O339,"")</f>
        <v/>
      </c>
      <c r="Q339" s="42" t="str">
        <f aca="false">IF($L339="청산",IF($M339=0,"",$P339/$M339),"")</f>
        <v/>
      </c>
      <c r="R339" s="43" t="str">
        <f aca="true">IF($B339="","",IF($L339="청산",$H339-$D339,IF($D339="","",TODAY()-$D339)))</f>
        <v/>
      </c>
      <c r="S339" s="44" t="str">
        <f aca="false">IF($L339="청산",DATE(YEAR($H339),MONTH($H339),1),"")</f>
        <v/>
      </c>
      <c r="T339" s="48"/>
      <c r="U339" s="49"/>
      <c r="V339" s="46" t="str">
        <f aca="false">IF($B339="","",IF($L339&lt;&gt;"청산",N(V338),IF($P339&gt;0,N(V338)+1,0)))</f>
        <v/>
      </c>
      <c r="W339" s="46" t="str">
        <f aca="false">IF($B339="","",IF($L339&lt;&gt;"청산",N(W338),IF($P339&lt;0,N(W338)+1,0)))</f>
        <v/>
      </c>
    </row>
    <row r="340" customFormat="false" ht="15" hidden="false" customHeight="false" outlineLevel="0" collapsed="false">
      <c r="A340" s="32" t="str">
        <f aca="false">IF($B340="","",ROW()-5)</f>
        <v/>
      </c>
      <c r="B340" s="48"/>
      <c r="C340" s="49"/>
      <c r="D340" s="50"/>
      <c r="E340" s="51"/>
      <c r="F340" s="52"/>
      <c r="G340" s="53"/>
      <c r="H340" s="50"/>
      <c r="I340" s="51"/>
      <c r="J340" s="53"/>
      <c r="K340" s="53"/>
      <c r="L340" s="39" t="str">
        <f aca="false">IF($B340="","",IF($H340="","보유중","청산"))</f>
        <v/>
      </c>
      <c r="M340" s="40" t="str">
        <f aca="false">IF($B340="","",$E340*$F340)</f>
        <v/>
      </c>
      <c r="N340" s="40" t="str">
        <f aca="false">IF($L340="청산",$I340*$F340,"")</f>
        <v/>
      </c>
      <c r="O340" s="40" t="str">
        <f aca="false">IF($B340="","",$G340+$J340+$K340)</f>
        <v/>
      </c>
      <c r="P340" s="41" t="str">
        <f aca="false">IF($L340="청산",$N340-$M340-$O340,"")</f>
        <v/>
      </c>
      <c r="Q340" s="42" t="str">
        <f aca="false">IF($L340="청산",IF($M340=0,"",$P340/$M340),"")</f>
        <v/>
      </c>
      <c r="R340" s="43" t="str">
        <f aca="true">IF($B340="","",IF($L340="청산",$H340-$D340,IF($D340="","",TODAY()-$D340)))</f>
        <v/>
      </c>
      <c r="S340" s="44" t="str">
        <f aca="false">IF($L340="청산",DATE(YEAR($H340),MONTH($H340),1),"")</f>
        <v/>
      </c>
      <c r="T340" s="48"/>
      <c r="U340" s="49"/>
      <c r="V340" s="46" t="str">
        <f aca="false">IF($B340="","",IF($L340&lt;&gt;"청산",N(V339),IF($P340&gt;0,N(V339)+1,0)))</f>
        <v/>
      </c>
      <c r="W340" s="46" t="str">
        <f aca="false">IF($B340="","",IF($L340&lt;&gt;"청산",N(W339),IF($P340&lt;0,N(W339)+1,0)))</f>
        <v/>
      </c>
    </row>
    <row r="341" customFormat="false" ht="15" hidden="false" customHeight="false" outlineLevel="0" collapsed="false">
      <c r="A341" s="32" t="str">
        <f aca="false">IF($B341="","",ROW()-5)</f>
        <v/>
      </c>
      <c r="B341" s="48"/>
      <c r="C341" s="49"/>
      <c r="D341" s="50"/>
      <c r="E341" s="51"/>
      <c r="F341" s="52"/>
      <c r="G341" s="53"/>
      <c r="H341" s="50"/>
      <c r="I341" s="51"/>
      <c r="J341" s="53"/>
      <c r="K341" s="53"/>
      <c r="L341" s="39" t="str">
        <f aca="false">IF($B341="","",IF($H341="","보유중","청산"))</f>
        <v/>
      </c>
      <c r="M341" s="40" t="str">
        <f aca="false">IF($B341="","",$E341*$F341)</f>
        <v/>
      </c>
      <c r="N341" s="40" t="str">
        <f aca="false">IF($L341="청산",$I341*$F341,"")</f>
        <v/>
      </c>
      <c r="O341" s="40" t="str">
        <f aca="false">IF($B341="","",$G341+$J341+$K341)</f>
        <v/>
      </c>
      <c r="P341" s="41" t="str">
        <f aca="false">IF($L341="청산",$N341-$M341-$O341,"")</f>
        <v/>
      </c>
      <c r="Q341" s="42" t="str">
        <f aca="false">IF($L341="청산",IF($M341=0,"",$P341/$M341),"")</f>
        <v/>
      </c>
      <c r="R341" s="43" t="str">
        <f aca="true">IF($B341="","",IF($L341="청산",$H341-$D341,IF($D341="","",TODAY()-$D341)))</f>
        <v/>
      </c>
      <c r="S341" s="44" t="str">
        <f aca="false">IF($L341="청산",DATE(YEAR($H341),MONTH($H341),1),"")</f>
        <v/>
      </c>
      <c r="T341" s="48"/>
      <c r="U341" s="49"/>
      <c r="V341" s="46" t="str">
        <f aca="false">IF($B341="","",IF($L341&lt;&gt;"청산",N(V340),IF($P341&gt;0,N(V340)+1,0)))</f>
        <v/>
      </c>
      <c r="W341" s="46" t="str">
        <f aca="false">IF($B341="","",IF($L341&lt;&gt;"청산",N(W340),IF($P341&lt;0,N(W340)+1,0)))</f>
        <v/>
      </c>
    </row>
    <row r="342" customFormat="false" ht="15" hidden="false" customHeight="false" outlineLevel="0" collapsed="false">
      <c r="A342" s="32" t="str">
        <f aca="false">IF($B342="","",ROW()-5)</f>
        <v/>
      </c>
      <c r="B342" s="48"/>
      <c r="C342" s="49"/>
      <c r="D342" s="50"/>
      <c r="E342" s="51"/>
      <c r="F342" s="52"/>
      <c r="G342" s="53"/>
      <c r="H342" s="50"/>
      <c r="I342" s="51"/>
      <c r="J342" s="53"/>
      <c r="K342" s="53"/>
      <c r="L342" s="39" t="str">
        <f aca="false">IF($B342="","",IF($H342="","보유중","청산"))</f>
        <v/>
      </c>
      <c r="M342" s="40" t="str">
        <f aca="false">IF($B342="","",$E342*$F342)</f>
        <v/>
      </c>
      <c r="N342" s="40" t="str">
        <f aca="false">IF($L342="청산",$I342*$F342,"")</f>
        <v/>
      </c>
      <c r="O342" s="40" t="str">
        <f aca="false">IF($B342="","",$G342+$J342+$K342)</f>
        <v/>
      </c>
      <c r="P342" s="41" t="str">
        <f aca="false">IF($L342="청산",$N342-$M342-$O342,"")</f>
        <v/>
      </c>
      <c r="Q342" s="42" t="str">
        <f aca="false">IF($L342="청산",IF($M342=0,"",$P342/$M342),"")</f>
        <v/>
      </c>
      <c r="R342" s="43" t="str">
        <f aca="true">IF($B342="","",IF($L342="청산",$H342-$D342,IF($D342="","",TODAY()-$D342)))</f>
        <v/>
      </c>
      <c r="S342" s="44" t="str">
        <f aca="false">IF($L342="청산",DATE(YEAR($H342),MONTH($H342),1),"")</f>
        <v/>
      </c>
      <c r="T342" s="48"/>
      <c r="U342" s="49"/>
      <c r="V342" s="46" t="str">
        <f aca="false">IF($B342="","",IF($L342&lt;&gt;"청산",N(V341),IF($P342&gt;0,N(V341)+1,0)))</f>
        <v/>
      </c>
      <c r="W342" s="46" t="str">
        <f aca="false">IF($B342="","",IF($L342&lt;&gt;"청산",N(W341),IF($P342&lt;0,N(W341)+1,0)))</f>
        <v/>
      </c>
    </row>
    <row r="343" customFormat="false" ht="15" hidden="false" customHeight="false" outlineLevel="0" collapsed="false">
      <c r="A343" s="32" t="str">
        <f aca="false">IF($B343="","",ROW()-5)</f>
        <v/>
      </c>
      <c r="B343" s="48"/>
      <c r="C343" s="49"/>
      <c r="D343" s="50"/>
      <c r="E343" s="51"/>
      <c r="F343" s="52"/>
      <c r="G343" s="53"/>
      <c r="H343" s="50"/>
      <c r="I343" s="51"/>
      <c r="J343" s="53"/>
      <c r="K343" s="53"/>
      <c r="L343" s="39" t="str">
        <f aca="false">IF($B343="","",IF($H343="","보유중","청산"))</f>
        <v/>
      </c>
      <c r="M343" s="40" t="str">
        <f aca="false">IF($B343="","",$E343*$F343)</f>
        <v/>
      </c>
      <c r="N343" s="40" t="str">
        <f aca="false">IF($L343="청산",$I343*$F343,"")</f>
        <v/>
      </c>
      <c r="O343" s="40" t="str">
        <f aca="false">IF($B343="","",$G343+$J343+$K343)</f>
        <v/>
      </c>
      <c r="P343" s="41" t="str">
        <f aca="false">IF($L343="청산",$N343-$M343-$O343,"")</f>
        <v/>
      </c>
      <c r="Q343" s="42" t="str">
        <f aca="false">IF($L343="청산",IF($M343=0,"",$P343/$M343),"")</f>
        <v/>
      </c>
      <c r="R343" s="43" t="str">
        <f aca="true">IF($B343="","",IF($L343="청산",$H343-$D343,IF($D343="","",TODAY()-$D343)))</f>
        <v/>
      </c>
      <c r="S343" s="44" t="str">
        <f aca="false">IF($L343="청산",DATE(YEAR($H343),MONTH($H343),1),"")</f>
        <v/>
      </c>
      <c r="T343" s="48"/>
      <c r="U343" s="49"/>
      <c r="V343" s="46" t="str">
        <f aca="false">IF($B343="","",IF($L343&lt;&gt;"청산",N(V342),IF($P343&gt;0,N(V342)+1,0)))</f>
        <v/>
      </c>
      <c r="W343" s="46" t="str">
        <f aca="false">IF($B343="","",IF($L343&lt;&gt;"청산",N(W342),IF($P343&lt;0,N(W342)+1,0)))</f>
        <v/>
      </c>
    </row>
    <row r="344" customFormat="false" ht="15" hidden="false" customHeight="false" outlineLevel="0" collapsed="false">
      <c r="A344" s="32" t="str">
        <f aca="false">IF($B344="","",ROW()-5)</f>
        <v/>
      </c>
      <c r="B344" s="48"/>
      <c r="C344" s="49"/>
      <c r="D344" s="50"/>
      <c r="E344" s="51"/>
      <c r="F344" s="52"/>
      <c r="G344" s="53"/>
      <c r="H344" s="50"/>
      <c r="I344" s="51"/>
      <c r="J344" s="53"/>
      <c r="K344" s="53"/>
      <c r="L344" s="39" t="str">
        <f aca="false">IF($B344="","",IF($H344="","보유중","청산"))</f>
        <v/>
      </c>
      <c r="M344" s="40" t="str">
        <f aca="false">IF($B344="","",$E344*$F344)</f>
        <v/>
      </c>
      <c r="N344" s="40" t="str">
        <f aca="false">IF($L344="청산",$I344*$F344,"")</f>
        <v/>
      </c>
      <c r="O344" s="40" t="str">
        <f aca="false">IF($B344="","",$G344+$J344+$K344)</f>
        <v/>
      </c>
      <c r="P344" s="41" t="str">
        <f aca="false">IF($L344="청산",$N344-$M344-$O344,"")</f>
        <v/>
      </c>
      <c r="Q344" s="42" t="str">
        <f aca="false">IF($L344="청산",IF($M344=0,"",$P344/$M344),"")</f>
        <v/>
      </c>
      <c r="R344" s="43" t="str">
        <f aca="true">IF($B344="","",IF($L344="청산",$H344-$D344,IF($D344="","",TODAY()-$D344)))</f>
        <v/>
      </c>
      <c r="S344" s="44" t="str">
        <f aca="false">IF($L344="청산",DATE(YEAR($H344),MONTH($H344),1),"")</f>
        <v/>
      </c>
      <c r="T344" s="48"/>
      <c r="U344" s="49"/>
      <c r="V344" s="46" t="str">
        <f aca="false">IF($B344="","",IF($L344&lt;&gt;"청산",N(V343),IF($P344&gt;0,N(V343)+1,0)))</f>
        <v/>
      </c>
      <c r="W344" s="46" t="str">
        <f aca="false">IF($B344="","",IF($L344&lt;&gt;"청산",N(W343),IF($P344&lt;0,N(W343)+1,0)))</f>
        <v/>
      </c>
    </row>
    <row r="345" customFormat="false" ht="15" hidden="false" customHeight="false" outlineLevel="0" collapsed="false">
      <c r="A345" s="32" t="str">
        <f aca="false">IF($B345="","",ROW()-5)</f>
        <v/>
      </c>
      <c r="B345" s="48"/>
      <c r="C345" s="49"/>
      <c r="D345" s="50"/>
      <c r="E345" s="51"/>
      <c r="F345" s="52"/>
      <c r="G345" s="53"/>
      <c r="H345" s="50"/>
      <c r="I345" s="51"/>
      <c r="J345" s="53"/>
      <c r="K345" s="53"/>
      <c r="L345" s="39" t="str">
        <f aca="false">IF($B345="","",IF($H345="","보유중","청산"))</f>
        <v/>
      </c>
      <c r="M345" s="40" t="str">
        <f aca="false">IF($B345="","",$E345*$F345)</f>
        <v/>
      </c>
      <c r="N345" s="40" t="str">
        <f aca="false">IF($L345="청산",$I345*$F345,"")</f>
        <v/>
      </c>
      <c r="O345" s="40" t="str">
        <f aca="false">IF($B345="","",$G345+$J345+$K345)</f>
        <v/>
      </c>
      <c r="P345" s="41" t="str">
        <f aca="false">IF($L345="청산",$N345-$M345-$O345,"")</f>
        <v/>
      </c>
      <c r="Q345" s="42" t="str">
        <f aca="false">IF($L345="청산",IF($M345=0,"",$P345/$M345),"")</f>
        <v/>
      </c>
      <c r="R345" s="43" t="str">
        <f aca="true">IF($B345="","",IF($L345="청산",$H345-$D345,IF($D345="","",TODAY()-$D345)))</f>
        <v/>
      </c>
      <c r="S345" s="44" t="str">
        <f aca="false">IF($L345="청산",DATE(YEAR($H345),MONTH($H345),1),"")</f>
        <v/>
      </c>
      <c r="T345" s="48"/>
      <c r="U345" s="49"/>
      <c r="V345" s="46" t="str">
        <f aca="false">IF($B345="","",IF($L345&lt;&gt;"청산",N(V344),IF($P345&gt;0,N(V344)+1,0)))</f>
        <v/>
      </c>
      <c r="W345" s="46" t="str">
        <f aca="false">IF($B345="","",IF($L345&lt;&gt;"청산",N(W344),IF($P345&lt;0,N(W344)+1,0)))</f>
        <v/>
      </c>
    </row>
    <row r="346" customFormat="false" ht="15" hidden="false" customHeight="false" outlineLevel="0" collapsed="false">
      <c r="A346" s="32" t="str">
        <f aca="false">IF($B346="","",ROW()-5)</f>
        <v/>
      </c>
      <c r="B346" s="48"/>
      <c r="C346" s="49"/>
      <c r="D346" s="50"/>
      <c r="E346" s="51"/>
      <c r="F346" s="52"/>
      <c r="G346" s="53"/>
      <c r="H346" s="50"/>
      <c r="I346" s="51"/>
      <c r="J346" s="53"/>
      <c r="K346" s="53"/>
      <c r="L346" s="39" t="str">
        <f aca="false">IF($B346="","",IF($H346="","보유중","청산"))</f>
        <v/>
      </c>
      <c r="M346" s="40" t="str">
        <f aca="false">IF($B346="","",$E346*$F346)</f>
        <v/>
      </c>
      <c r="N346" s="40" t="str">
        <f aca="false">IF($L346="청산",$I346*$F346,"")</f>
        <v/>
      </c>
      <c r="O346" s="40" t="str">
        <f aca="false">IF($B346="","",$G346+$J346+$K346)</f>
        <v/>
      </c>
      <c r="P346" s="41" t="str">
        <f aca="false">IF($L346="청산",$N346-$M346-$O346,"")</f>
        <v/>
      </c>
      <c r="Q346" s="42" t="str">
        <f aca="false">IF($L346="청산",IF($M346=0,"",$P346/$M346),"")</f>
        <v/>
      </c>
      <c r="R346" s="43" t="str">
        <f aca="true">IF($B346="","",IF($L346="청산",$H346-$D346,IF($D346="","",TODAY()-$D346)))</f>
        <v/>
      </c>
      <c r="S346" s="44" t="str">
        <f aca="false">IF($L346="청산",DATE(YEAR($H346),MONTH($H346),1),"")</f>
        <v/>
      </c>
      <c r="T346" s="48"/>
      <c r="U346" s="49"/>
      <c r="V346" s="46" t="str">
        <f aca="false">IF($B346="","",IF($L346&lt;&gt;"청산",N(V345),IF($P346&gt;0,N(V345)+1,0)))</f>
        <v/>
      </c>
      <c r="W346" s="46" t="str">
        <f aca="false">IF($B346="","",IF($L346&lt;&gt;"청산",N(W345),IF($P346&lt;0,N(W345)+1,0)))</f>
        <v/>
      </c>
    </row>
    <row r="347" customFormat="false" ht="15" hidden="false" customHeight="false" outlineLevel="0" collapsed="false">
      <c r="A347" s="32" t="str">
        <f aca="false">IF($B347="","",ROW()-5)</f>
        <v/>
      </c>
      <c r="B347" s="48"/>
      <c r="C347" s="49"/>
      <c r="D347" s="50"/>
      <c r="E347" s="51"/>
      <c r="F347" s="52"/>
      <c r="G347" s="53"/>
      <c r="H347" s="50"/>
      <c r="I347" s="51"/>
      <c r="J347" s="53"/>
      <c r="K347" s="53"/>
      <c r="L347" s="39" t="str">
        <f aca="false">IF($B347="","",IF($H347="","보유중","청산"))</f>
        <v/>
      </c>
      <c r="M347" s="40" t="str">
        <f aca="false">IF($B347="","",$E347*$F347)</f>
        <v/>
      </c>
      <c r="N347" s="40" t="str">
        <f aca="false">IF($L347="청산",$I347*$F347,"")</f>
        <v/>
      </c>
      <c r="O347" s="40" t="str">
        <f aca="false">IF($B347="","",$G347+$J347+$K347)</f>
        <v/>
      </c>
      <c r="P347" s="41" t="str">
        <f aca="false">IF($L347="청산",$N347-$M347-$O347,"")</f>
        <v/>
      </c>
      <c r="Q347" s="42" t="str">
        <f aca="false">IF($L347="청산",IF($M347=0,"",$P347/$M347),"")</f>
        <v/>
      </c>
      <c r="R347" s="43" t="str">
        <f aca="true">IF($B347="","",IF($L347="청산",$H347-$D347,IF($D347="","",TODAY()-$D347)))</f>
        <v/>
      </c>
      <c r="S347" s="44" t="str">
        <f aca="false">IF($L347="청산",DATE(YEAR($H347),MONTH($H347),1),"")</f>
        <v/>
      </c>
      <c r="T347" s="48"/>
      <c r="U347" s="49"/>
      <c r="V347" s="46" t="str">
        <f aca="false">IF($B347="","",IF($L347&lt;&gt;"청산",N(V346),IF($P347&gt;0,N(V346)+1,0)))</f>
        <v/>
      </c>
      <c r="W347" s="46" t="str">
        <f aca="false">IF($B347="","",IF($L347&lt;&gt;"청산",N(W346),IF($P347&lt;0,N(W346)+1,0)))</f>
        <v/>
      </c>
    </row>
    <row r="348" customFormat="false" ht="15" hidden="false" customHeight="false" outlineLevel="0" collapsed="false">
      <c r="A348" s="32" t="str">
        <f aca="false">IF($B348="","",ROW()-5)</f>
        <v/>
      </c>
      <c r="B348" s="48"/>
      <c r="C348" s="49"/>
      <c r="D348" s="50"/>
      <c r="E348" s="51"/>
      <c r="F348" s="52"/>
      <c r="G348" s="53"/>
      <c r="H348" s="50"/>
      <c r="I348" s="51"/>
      <c r="J348" s="53"/>
      <c r="K348" s="53"/>
      <c r="L348" s="39" t="str">
        <f aca="false">IF($B348="","",IF($H348="","보유중","청산"))</f>
        <v/>
      </c>
      <c r="M348" s="40" t="str">
        <f aca="false">IF($B348="","",$E348*$F348)</f>
        <v/>
      </c>
      <c r="N348" s="40" t="str">
        <f aca="false">IF($L348="청산",$I348*$F348,"")</f>
        <v/>
      </c>
      <c r="O348" s="40" t="str">
        <f aca="false">IF($B348="","",$G348+$J348+$K348)</f>
        <v/>
      </c>
      <c r="P348" s="41" t="str">
        <f aca="false">IF($L348="청산",$N348-$M348-$O348,"")</f>
        <v/>
      </c>
      <c r="Q348" s="42" t="str">
        <f aca="false">IF($L348="청산",IF($M348=0,"",$P348/$M348),"")</f>
        <v/>
      </c>
      <c r="R348" s="43" t="str">
        <f aca="true">IF($B348="","",IF($L348="청산",$H348-$D348,IF($D348="","",TODAY()-$D348)))</f>
        <v/>
      </c>
      <c r="S348" s="44" t="str">
        <f aca="false">IF($L348="청산",DATE(YEAR($H348),MONTH($H348),1),"")</f>
        <v/>
      </c>
      <c r="T348" s="48"/>
      <c r="U348" s="49"/>
      <c r="V348" s="46" t="str">
        <f aca="false">IF($B348="","",IF($L348&lt;&gt;"청산",N(V347),IF($P348&gt;0,N(V347)+1,0)))</f>
        <v/>
      </c>
      <c r="W348" s="46" t="str">
        <f aca="false">IF($B348="","",IF($L348&lt;&gt;"청산",N(W347),IF($P348&lt;0,N(W347)+1,0)))</f>
        <v/>
      </c>
    </row>
    <row r="349" customFormat="false" ht="15" hidden="false" customHeight="false" outlineLevel="0" collapsed="false">
      <c r="A349" s="32" t="str">
        <f aca="false">IF($B349="","",ROW()-5)</f>
        <v/>
      </c>
      <c r="B349" s="48"/>
      <c r="C349" s="49"/>
      <c r="D349" s="50"/>
      <c r="E349" s="51"/>
      <c r="F349" s="52"/>
      <c r="G349" s="53"/>
      <c r="H349" s="50"/>
      <c r="I349" s="51"/>
      <c r="J349" s="53"/>
      <c r="K349" s="53"/>
      <c r="L349" s="39" t="str">
        <f aca="false">IF($B349="","",IF($H349="","보유중","청산"))</f>
        <v/>
      </c>
      <c r="M349" s="40" t="str">
        <f aca="false">IF($B349="","",$E349*$F349)</f>
        <v/>
      </c>
      <c r="N349" s="40" t="str">
        <f aca="false">IF($L349="청산",$I349*$F349,"")</f>
        <v/>
      </c>
      <c r="O349" s="40" t="str">
        <f aca="false">IF($B349="","",$G349+$J349+$K349)</f>
        <v/>
      </c>
      <c r="P349" s="41" t="str">
        <f aca="false">IF($L349="청산",$N349-$M349-$O349,"")</f>
        <v/>
      </c>
      <c r="Q349" s="42" t="str">
        <f aca="false">IF($L349="청산",IF($M349=0,"",$P349/$M349),"")</f>
        <v/>
      </c>
      <c r="R349" s="43" t="str">
        <f aca="true">IF($B349="","",IF($L349="청산",$H349-$D349,IF($D349="","",TODAY()-$D349)))</f>
        <v/>
      </c>
      <c r="S349" s="44" t="str">
        <f aca="false">IF($L349="청산",DATE(YEAR($H349),MONTH($H349),1),"")</f>
        <v/>
      </c>
      <c r="T349" s="48"/>
      <c r="U349" s="49"/>
      <c r="V349" s="46" t="str">
        <f aca="false">IF($B349="","",IF($L349&lt;&gt;"청산",N(V348),IF($P349&gt;0,N(V348)+1,0)))</f>
        <v/>
      </c>
      <c r="W349" s="46" t="str">
        <f aca="false">IF($B349="","",IF($L349&lt;&gt;"청산",N(W348),IF($P349&lt;0,N(W348)+1,0)))</f>
        <v/>
      </c>
    </row>
    <row r="350" customFormat="false" ht="15" hidden="false" customHeight="false" outlineLevel="0" collapsed="false">
      <c r="A350" s="32" t="str">
        <f aca="false">IF($B350="","",ROW()-5)</f>
        <v/>
      </c>
      <c r="B350" s="48"/>
      <c r="C350" s="49"/>
      <c r="D350" s="50"/>
      <c r="E350" s="51"/>
      <c r="F350" s="52"/>
      <c r="G350" s="53"/>
      <c r="H350" s="50"/>
      <c r="I350" s="51"/>
      <c r="J350" s="53"/>
      <c r="K350" s="53"/>
      <c r="L350" s="39" t="str">
        <f aca="false">IF($B350="","",IF($H350="","보유중","청산"))</f>
        <v/>
      </c>
      <c r="M350" s="40" t="str">
        <f aca="false">IF($B350="","",$E350*$F350)</f>
        <v/>
      </c>
      <c r="N350" s="40" t="str">
        <f aca="false">IF($L350="청산",$I350*$F350,"")</f>
        <v/>
      </c>
      <c r="O350" s="40" t="str">
        <f aca="false">IF($B350="","",$G350+$J350+$K350)</f>
        <v/>
      </c>
      <c r="P350" s="41" t="str">
        <f aca="false">IF($L350="청산",$N350-$M350-$O350,"")</f>
        <v/>
      </c>
      <c r="Q350" s="42" t="str">
        <f aca="false">IF($L350="청산",IF($M350=0,"",$P350/$M350),"")</f>
        <v/>
      </c>
      <c r="R350" s="43" t="str">
        <f aca="true">IF($B350="","",IF($L350="청산",$H350-$D350,IF($D350="","",TODAY()-$D350)))</f>
        <v/>
      </c>
      <c r="S350" s="44" t="str">
        <f aca="false">IF($L350="청산",DATE(YEAR($H350),MONTH($H350),1),"")</f>
        <v/>
      </c>
      <c r="T350" s="48"/>
      <c r="U350" s="49"/>
      <c r="V350" s="46" t="str">
        <f aca="false">IF($B350="","",IF($L350&lt;&gt;"청산",N(V349),IF($P350&gt;0,N(V349)+1,0)))</f>
        <v/>
      </c>
      <c r="W350" s="46" t="str">
        <f aca="false">IF($B350="","",IF($L350&lt;&gt;"청산",N(W349),IF($P350&lt;0,N(W349)+1,0)))</f>
        <v/>
      </c>
    </row>
    <row r="351" customFormat="false" ht="15" hidden="false" customHeight="false" outlineLevel="0" collapsed="false">
      <c r="A351" s="32" t="str">
        <f aca="false">IF($B351="","",ROW()-5)</f>
        <v/>
      </c>
      <c r="B351" s="48"/>
      <c r="C351" s="49"/>
      <c r="D351" s="50"/>
      <c r="E351" s="51"/>
      <c r="F351" s="52"/>
      <c r="G351" s="53"/>
      <c r="H351" s="50"/>
      <c r="I351" s="51"/>
      <c r="J351" s="53"/>
      <c r="K351" s="53"/>
      <c r="L351" s="39" t="str">
        <f aca="false">IF($B351="","",IF($H351="","보유중","청산"))</f>
        <v/>
      </c>
      <c r="M351" s="40" t="str">
        <f aca="false">IF($B351="","",$E351*$F351)</f>
        <v/>
      </c>
      <c r="N351" s="40" t="str">
        <f aca="false">IF($L351="청산",$I351*$F351,"")</f>
        <v/>
      </c>
      <c r="O351" s="40" t="str">
        <f aca="false">IF($B351="","",$G351+$J351+$K351)</f>
        <v/>
      </c>
      <c r="P351" s="41" t="str">
        <f aca="false">IF($L351="청산",$N351-$M351-$O351,"")</f>
        <v/>
      </c>
      <c r="Q351" s="42" t="str">
        <f aca="false">IF($L351="청산",IF($M351=0,"",$P351/$M351),"")</f>
        <v/>
      </c>
      <c r="R351" s="43" t="str">
        <f aca="true">IF($B351="","",IF($L351="청산",$H351-$D351,IF($D351="","",TODAY()-$D351)))</f>
        <v/>
      </c>
      <c r="S351" s="44" t="str">
        <f aca="false">IF($L351="청산",DATE(YEAR($H351),MONTH($H351),1),"")</f>
        <v/>
      </c>
      <c r="T351" s="48"/>
      <c r="U351" s="49"/>
      <c r="V351" s="46" t="str">
        <f aca="false">IF($B351="","",IF($L351&lt;&gt;"청산",N(V350),IF($P351&gt;0,N(V350)+1,0)))</f>
        <v/>
      </c>
      <c r="W351" s="46" t="str">
        <f aca="false">IF($B351="","",IF($L351&lt;&gt;"청산",N(W350),IF($P351&lt;0,N(W350)+1,0)))</f>
        <v/>
      </c>
    </row>
    <row r="352" customFormat="false" ht="15" hidden="false" customHeight="false" outlineLevel="0" collapsed="false">
      <c r="A352" s="32" t="str">
        <f aca="false">IF($B352="","",ROW()-5)</f>
        <v/>
      </c>
      <c r="B352" s="48"/>
      <c r="C352" s="49"/>
      <c r="D352" s="50"/>
      <c r="E352" s="51"/>
      <c r="F352" s="52"/>
      <c r="G352" s="53"/>
      <c r="H352" s="50"/>
      <c r="I352" s="51"/>
      <c r="J352" s="53"/>
      <c r="K352" s="53"/>
      <c r="L352" s="39" t="str">
        <f aca="false">IF($B352="","",IF($H352="","보유중","청산"))</f>
        <v/>
      </c>
      <c r="M352" s="40" t="str">
        <f aca="false">IF($B352="","",$E352*$F352)</f>
        <v/>
      </c>
      <c r="N352" s="40" t="str">
        <f aca="false">IF($L352="청산",$I352*$F352,"")</f>
        <v/>
      </c>
      <c r="O352" s="40" t="str">
        <f aca="false">IF($B352="","",$G352+$J352+$K352)</f>
        <v/>
      </c>
      <c r="P352" s="41" t="str">
        <f aca="false">IF($L352="청산",$N352-$M352-$O352,"")</f>
        <v/>
      </c>
      <c r="Q352" s="42" t="str">
        <f aca="false">IF($L352="청산",IF($M352=0,"",$P352/$M352),"")</f>
        <v/>
      </c>
      <c r="R352" s="43" t="str">
        <f aca="true">IF($B352="","",IF($L352="청산",$H352-$D352,IF($D352="","",TODAY()-$D352)))</f>
        <v/>
      </c>
      <c r="S352" s="44" t="str">
        <f aca="false">IF($L352="청산",DATE(YEAR($H352),MONTH($H352),1),"")</f>
        <v/>
      </c>
      <c r="T352" s="48"/>
      <c r="U352" s="49"/>
      <c r="V352" s="46" t="str">
        <f aca="false">IF($B352="","",IF($L352&lt;&gt;"청산",N(V351),IF($P352&gt;0,N(V351)+1,0)))</f>
        <v/>
      </c>
      <c r="W352" s="46" t="str">
        <f aca="false">IF($B352="","",IF($L352&lt;&gt;"청산",N(W351),IF($P352&lt;0,N(W351)+1,0)))</f>
        <v/>
      </c>
    </row>
    <row r="353" customFormat="false" ht="15" hidden="false" customHeight="false" outlineLevel="0" collapsed="false">
      <c r="A353" s="32" t="str">
        <f aca="false">IF($B353="","",ROW()-5)</f>
        <v/>
      </c>
      <c r="B353" s="48"/>
      <c r="C353" s="49"/>
      <c r="D353" s="50"/>
      <c r="E353" s="51"/>
      <c r="F353" s="52"/>
      <c r="G353" s="53"/>
      <c r="H353" s="50"/>
      <c r="I353" s="51"/>
      <c r="J353" s="53"/>
      <c r="K353" s="53"/>
      <c r="L353" s="39" t="str">
        <f aca="false">IF($B353="","",IF($H353="","보유중","청산"))</f>
        <v/>
      </c>
      <c r="M353" s="40" t="str">
        <f aca="false">IF($B353="","",$E353*$F353)</f>
        <v/>
      </c>
      <c r="N353" s="40" t="str">
        <f aca="false">IF($L353="청산",$I353*$F353,"")</f>
        <v/>
      </c>
      <c r="O353" s="40" t="str">
        <f aca="false">IF($B353="","",$G353+$J353+$K353)</f>
        <v/>
      </c>
      <c r="P353" s="41" t="str">
        <f aca="false">IF($L353="청산",$N353-$M353-$O353,"")</f>
        <v/>
      </c>
      <c r="Q353" s="42" t="str">
        <f aca="false">IF($L353="청산",IF($M353=0,"",$P353/$M353),"")</f>
        <v/>
      </c>
      <c r="R353" s="43" t="str">
        <f aca="true">IF($B353="","",IF($L353="청산",$H353-$D353,IF($D353="","",TODAY()-$D353)))</f>
        <v/>
      </c>
      <c r="S353" s="44" t="str">
        <f aca="false">IF($L353="청산",DATE(YEAR($H353),MONTH($H353),1),"")</f>
        <v/>
      </c>
      <c r="T353" s="48"/>
      <c r="U353" s="49"/>
      <c r="V353" s="46" t="str">
        <f aca="false">IF($B353="","",IF($L353&lt;&gt;"청산",N(V352),IF($P353&gt;0,N(V352)+1,0)))</f>
        <v/>
      </c>
      <c r="W353" s="46" t="str">
        <f aca="false">IF($B353="","",IF($L353&lt;&gt;"청산",N(W352),IF($P353&lt;0,N(W352)+1,0)))</f>
        <v/>
      </c>
    </row>
    <row r="354" customFormat="false" ht="15" hidden="false" customHeight="false" outlineLevel="0" collapsed="false">
      <c r="A354" s="32" t="str">
        <f aca="false">IF($B354="","",ROW()-5)</f>
        <v/>
      </c>
      <c r="B354" s="48"/>
      <c r="C354" s="49"/>
      <c r="D354" s="50"/>
      <c r="E354" s="51"/>
      <c r="F354" s="52"/>
      <c r="G354" s="53"/>
      <c r="H354" s="50"/>
      <c r="I354" s="51"/>
      <c r="J354" s="53"/>
      <c r="K354" s="53"/>
      <c r="L354" s="39" t="str">
        <f aca="false">IF($B354="","",IF($H354="","보유중","청산"))</f>
        <v/>
      </c>
      <c r="M354" s="40" t="str">
        <f aca="false">IF($B354="","",$E354*$F354)</f>
        <v/>
      </c>
      <c r="N354" s="40" t="str">
        <f aca="false">IF($L354="청산",$I354*$F354,"")</f>
        <v/>
      </c>
      <c r="O354" s="40" t="str">
        <f aca="false">IF($B354="","",$G354+$J354+$K354)</f>
        <v/>
      </c>
      <c r="P354" s="41" t="str">
        <f aca="false">IF($L354="청산",$N354-$M354-$O354,"")</f>
        <v/>
      </c>
      <c r="Q354" s="42" t="str">
        <f aca="false">IF($L354="청산",IF($M354=0,"",$P354/$M354),"")</f>
        <v/>
      </c>
      <c r="R354" s="43" t="str">
        <f aca="true">IF($B354="","",IF($L354="청산",$H354-$D354,IF($D354="","",TODAY()-$D354)))</f>
        <v/>
      </c>
      <c r="S354" s="44" t="str">
        <f aca="false">IF($L354="청산",DATE(YEAR($H354),MONTH($H354),1),"")</f>
        <v/>
      </c>
      <c r="T354" s="48"/>
      <c r="U354" s="49"/>
      <c r="V354" s="46" t="str">
        <f aca="false">IF($B354="","",IF($L354&lt;&gt;"청산",N(V353),IF($P354&gt;0,N(V353)+1,0)))</f>
        <v/>
      </c>
      <c r="W354" s="46" t="str">
        <f aca="false">IF($B354="","",IF($L354&lt;&gt;"청산",N(W353),IF($P354&lt;0,N(W353)+1,0)))</f>
        <v/>
      </c>
    </row>
    <row r="355" customFormat="false" ht="15" hidden="false" customHeight="false" outlineLevel="0" collapsed="false">
      <c r="A355" s="32" t="str">
        <f aca="false">IF($B355="","",ROW()-5)</f>
        <v/>
      </c>
      <c r="B355" s="48"/>
      <c r="C355" s="49"/>
      <c r="D355" s="50"/>
      <c r="E355" s="51"/>
      <c r="F355" s="52"/>
      <c r="G355" s="53"/>
      <c r="H355" s="50"/>
      <c r="I355" s="51"/>
      <c r="J355" s="53"/>
      <c r="K355" s="53"/>
      <c r="L355" s="39" t="str">
        <f aca="false">IF($B355="","",IF($H355="","보유중","청산"))</f>
        <v/>
      </c>
      <c r="M355" s="40" t="str">
        <f aca="false">IF($B355="","",$E355*$F355)</f>
        <v/>
      </c>
      <c r="N355" s="40" t="str">
        <f aca="false">IF($L355="청산",$I355*$F355,"")</f>
        <v/>
      </c>
      <c r="O355" s="40" t="str">
        <f aca="false">IF($B355="","",$G355+$J355+$K355)</f>
        <v/>
      </c>
      <c r="P355" s="41" t="str">
        <f aca="false">IF($L355="청산",$N355-$M355-$O355,"")</f>
        <v/>
      </c>
      <c r="Q355" s="42" t="str">
        <f aca="false">IF($L355="청산",IF($M355=0,"",$P355/$M355),"")</f>
        <v/>
      </c>
      <c r="R355" s="43" t="str">
        <f aca="true">IF($B355="","",IF($L355="청산",$H355-$D355,IF($D355="","",TODAY()-$D355)))</f>
        <v/>
      </c>
      <c r="S355" s="44" t="str">
        <f aca="false">IF($L355="청산",DATE(YEAR($H355),MONTH($H355),1),"")</f>
        <v/>
      </c>
      <c r="T355" s="48"/>
      <c r="U355" s="49"/>
      <c r="V355" s="46" t="str">
        <f aca="false">IF($B355="","",IF($L355&lt;&gt;"청산",N(V354),IF($P355&gt;0,N(V354)+1,0)))</f>
        <v/>
      </c>
      <c r="W355" s="46" t="str">
        <f aca="false">IF($B355="","",IF($L355&lt;&gt;"청산",N(W354),IF($P355&lt;0,N(W354)+1,0)))</f>
        <v/>
      </c>
    </row>
    <row r="356" customFormat="false" ht="15" hidden="false" customHeight="false" outlineLevel="0" collapsed="false">
      <c r="A356" s="32" t="str">
        <f aca="false">IF($B356="","",ROW()-5)</f>
        <v/>
      </c>
      <c r="B356" s="48"/>
      <c r="C356" s="49"/>
      <c r="D356" s="50"/>
      <c r="E356" s="51"/>
      <c r="F356" s="52"/>
      <c r="G356" s="53"/>
      <c r="H356" s="50"/>
      <c r="I356" s="51"/>
      <c r="J356" s="53"/>
      <c r="K356" s="53"/>
      <c r="L356" s="39" t="str">
        <f aca="false">IF($B356="","",IF($H356="","보유중","청산"))</f>
        <v/>
      </c>
      <c r="M356" s="40" t="str">
        <f aca="false">IF($B356="","",$E356*$F356)</f>
        <v/>
      </c>
      <c r="N356" s="40" t="str">
        <f aca="false">IF($L356="청산",$I356*$F356,"")</f>
        <v/>
      </c>
      <c r="O356" s="40" t="str">
        <f aca="false">IF($B356="","",$G356+$J356+$K356)</f>
        <v/>
      </c>
      <c r="P356" s="41" t="str">
        <f aca="false">IF($L356="청산",$N356-$M356-$O356,"")</f>
        <v/>
      </c>
      <c r="Q356" s="42" t="str">
        <f aca="false">IF($L356="청산",IF($M356=0,"",$P356/$M356),"")</f>
        <v/>
      </c>
      <c r="R356" s="43" t="str">
        <f aca="true">IF($B356="","",IF($L356="청산",$H356-$D356,IF($D356="","",TODAY()-$D356)))</f>
        <v/>
      </c>
      <c r="S356" s="44" t="str">
        <f aca="false">IF($L356="청산",DATE(YEAR($H356),MONTH($H356),1),"")</f>
        <v/>
      </c>
      <c r="T356" s="48"/>
      <c r="U356" s="49"/>
      <c r="V356" s="46" t="str">
        <f aca="false">IF($B356="","",IF($L356&lt;&gt;"청산",N(V355),IF($P356&gt;0,N(V355)+1,0)))</f>
        <v/>
      </c>
      <c r="W356" s="46" t="str">
        <f aca="false">IF($B356="","",IF($L356&lt;&gt;"청산",N(W355),IF($P356&lt;0,N(W355)+1,0)))</f>
        <v/>
      </c>
    </row>
    <row r="357" customFormat="false" ht="15" hidden="false" customHeight="false" outlineLevel="0" collapsed="false">
      <c r="A357" s="32" t="str">
        <f aca="false">IF($B357="","",ROW()-5)</f>
        <v/>
      </c>
      <c r="B357" s="48"/>
      <c r="C357" s="49"/>
      <c r="D357" s="50"/>
      <c r="E357" s="51"/>
      <c r="F357" s="52"/>
      <c r="G357" s="53"/>
      <c r="H357" s="50"/>
      <c r="I357" s="51"/>
      <c r="J357" s="53"/>
      <c r="K357" s="53"/>
      <c r="L357" s="39" t="str">
        <f aca="false">IF($B357="","",IF($H357="","보유중","청산"))</f>
        <v/>
      </c>
      <c r="M357" s="40" t="str">
        <f aca="false">IF($B357="","",$E357*$F357)</f>
        <v/>
      </c>
      <c r="N357" s="40" t="str">
        <f aca="false">IF($L357="청산",$I357*$F357,"")</f>
        <v/>
      </c>
      <c r="O357" s="40" t="str">
        <f aca="false">IF($B357="","",$G357+$J357+$K357)</f>
        <v/>
      </c>
      <c r="P357" s="41" t="str">
        <f aca="false">IF($L357="청산",$N357-$M357-$O357,"")</f>
        <v/>
      </c>
      <c r="Q357" s="42" t="str">
        <f aca="false">IF($L357="청산",IF($M357=0,"",$P357/$M357),"")</f>
        <v/>
      </c>
      <c r="R357" s="43" t="str">
        <f aca="true">IF($B357="","",IF($L357="청산",$H357-$D357,IF($D357="","",TODAY()-$D357)))</f>
        <v/>
      </c>
      <c r="S357" s="44" t="str">
        <f aca="false">IF($L357="청산",DATE(YEAR($H357),MONTH($H357),1),"")</f>
        <v/>
      </c>
      <c r="T357" s="48"/>
      <c r="U357" s="49"/>
      <c r="V357" s="46" t="str">
        <f aca="false">IF($B357="","",IF($L357&lt;&gt;"청산",N(V356),IF($P357&gt;0,N(V356)+1,0)))</f>
        <v/>
      </c>
      <c r="W357" s="46" t="str">
        <f aca="false">IF($B357="","",IF($L357&lt;&gt;"청산",N(W356),IF($P357&lt;0,N(W356)+1,0)))</f>
        <v/>
      </c>
    </row>
    <row r="358" customFormat="false" ht="15" hidden="false" customHeight="false" outlineLevel="0" collapsed="false">
      <c r="A358" s="32" t="str">
        <f aca="false">IF($B358="","",ROW()-5)</f>
        <v/>
      </c>
      <c r="B358" s="48"/>
      <c r="C358" s="49"/>
      <c r="D358" s="50"/>
      <c r="E358" s="51"/>
      <c r="F358" s="52"/>
      <c r="G358" s="53"/>
      <c r="H358" s="50"/>
      <c r="I358" s="51"/>
      <c r="J358" s="53"/>
      <c r="K358" s="53"/>
      <c r="L358" s="39" t="str">
        <f aca="false">IF($B358="","",IF($H358="","보유중","청산"))</f>
        <v/>
      </c>
      <c r="M358" s="40" t="str">
        <f aca="false">IF($B358="","",$E358*$F358)</f>
        <v/>
      </c>
      <c r="N358" s="40" t="str">
        <f aca="false">IF($L358="청산",$I358*$F358,"")</f>
        <v/>
      </c>
      <c r="O358" s="40" t="str">
        <f aca="false">IF($B358="","",$G358+$J358+$K358)</f>
        <v/>
      </c>
      <c r="P358" s="41" t="str">
        <f aca="false">IF($L358="청산",$N358-$M358-$O358,"")</f>
        <v/>
      </c>
      <c r="Q358" s="42" t="str">
        <f aca="false">IF($L358="청산",IF($M358=0,"",$P358/$M358),"")</f>
        <v/>
      </c>
      <c r="R358" s="43" t="str">
        <f aca="true">IF($B358="","",IF($L358="청산",$H358-$D358,IF($D358="","",TODAY()-$D358)))</f>
        <v/>
      </c>
      <c r="S358" s="44" t="str">
        <f aca="false">IF($L358="청산",DATE(YEAR($H358),MONTH($H358),1),"")</f>
        <v/>
      </c>
      <c r="T358" s="48"/>
      <c r="U358" s="49"/>
      <c r="V358" s="46" t="str">
        <f aca="false">IF($B358="","",IF($L358&lt;&gt;"청산",N(V357),IF($P358&gt;0,N(V357)+1,0)))</f>
        <v/>
      </c>
      <c r="W358" s="46" t="str">
        <f aca="false">IF($B358="","",IF($L358&lt;&gt;"청산",N(W357),IF($P358&lt;0,N(W357)+1,0)))</f>
        <v/>
      </c>
    </row>
    <row r="359" customFormat="false" ht="15" hidden="false" customHeight="false" outlineLevel="0" collapsed="false">
      <c r="A359" s="32" t="str">
        <f aca="false">IF($B359="","",ROW()-5)</f>
        <v/>
      </c>
      <c r="B359" s="48"/>
      <c r="C359" s="49"/>
      <c r="D359" s="50"/>
      <c r="E359" s="51"/>
      <c r="F359" s="52"/>
      <c r="G359" s="53"/>
      <c r="H359" s="50"/>
      <c r="I359" s="51"/>
      <c r="J359" s="53"/>
      <c r="K359" s="53"/>
      <c r="L359" s="39" t="str">
        <f aca="false">IF($B359="","",IF($H359="","보유중","청산"))</f>
        <v/>
      </c>
      <c r="M359" s="40" t="str">
        <f aca="false">IF($B359="","",$E359*$F359)</f>
        <v/>
      </c>
      <c r="N359" s="40" t="str">
        <f aca="false">IF($L359="청산",$I359*$F359,"")</f>
        <v/>
      </c>
      <c r="O359" s="40" t="str">
        <f aca="false">IF($B359="","",$G359+$J359+$K359)</f>
        <v/>
      </c>
      <c r="P359" s="41" t="str">
        <f aca="false">IF($L359="청산",$N359-$M359-$O359,"")</f>
        <v/>
      </c>
      <c r="Q359" s="42" t="str">
        <f aca="false">IF($L359="청산",IF($M359=0,"",$P359/$M359),"")</f>
        <v/>
      </c>
      <c r="R359" s="43" t="str">
        <f aca="true">IF($B359="","",IF($L359="청산",$H359-$D359,IF($D359="","",TODAY()-$D359)))</f>
        <v/>
      </c>
      <c r="S359" s="44" t="str">
        <f aca="false">IF($L359="청산",DATE(YEAR($H359),MONTH($H359),1),"")</f>
        <v/>
      </c>
      <c r="T359" s="48"/>
      <c r="U359" s="49"/>
      <c r="V359" s="46" t="str">
        <f aca="false">IF($B359="","",IF($L359&lt;&gt;"청산",N(V358),IF($P359&gt;0,N(V358)+1,0)))</f>
        <v/>
      </c>
      <c r="W359" s="46" t="str">
        <f aca="false">IF($B359="","",IF($L359&lt;&gt;"청산",N(W358),IF($P359&lt;0,N(W358)+1,0)))</f>
        <v/>
      </c>
    </row>
    <row r="360" customFormat="false" ht="15" hidden="false" customHeight="false" outlineLevel="0" collapsed="false">
      <c r="A360" s="32" t="str">
        <f aca="false">IF($B360="","",ROW()-5)</f>
        <v/>
      </c>
      <c r="B360" s="48"/>
      <c r="C360" s="49"/>
      <c r="D360" s="50"/>
      <c r="E360" s="51"/>
      <c r="F360" s="52"/>
      <c r="G360" s="53"/>
      <c r="H360" s="50"/>
      <c r="I360" s="51"/>
      <c r="J360" s="53"/>
      <c r="K360" s="53"/>
      <c r="L360" s="39" t="str">
        <f aca="false">IF($B360="","",IF($H360="","보유중","청산"))</f>
        <v/>
      </c>
      <c r="M360" s="40" t="str">
        <f aca="false">IF($B360="","",$E360*$F360)</f>
        <v/>
      </c>
      <c r="N360" s="40" t="str">
        <f aca="false">IF($L360="청산",$I360*$F360,"")</f>
        <v/>
      </c>
      <c r="O360" s="40" t="str">
        <f aca="false">IF($B360="","",$G360+$J360+$K360)</f>
        <v/>
      </c>
      <c r="P360" s="41" t="str">
        <f aca="false">IF($L360="청산",$N360-$M360-$O360,"")</f>
        <v/>
      </c>
      <c r="Q360" s="42" t="str">
        <f aca="false">IF($L360="청산",IF($M360=0,"",$P360/$M360),"")</f>
        <v/>
      </c>
      <c r="R360" s="43" t="str">
        <f aca="true">IF($B360="","",IF($L360="청산",$H360-$D360,IF($D360="","",TODAY()-$D360)))</f>
        <v/>
      </c>
      <c r="S360" s="44" t="str">
        <f aca="false">IF($L360="청산",DATE(YEAR($H360),MONTH($H360),1),"")</f>
        <v/>
      </c>
      <c r="T360" s="48"/>
      <c r="U360" s="49"/>
      <c r="V360" s="46" t="str">
        <f aca="false">IF($B360="","",IF($L360&lt;&gt;"청산",N(V359),IF($P360&gt;0,N(V359)+1,0)))</f>
        <v/>
      </c>
      <c r="W360" s="46" t="str">
        <f aca="false">IF($B360="","",IF($L360&lt;&gt;"청산",N(W359),IF($P360&lt;0,N(W359)+1,0)))</f>
        <v/>
      </c>
    </row>
    <row r="361" customFormat="false" ht="15" hidden="false" customHeight="false" outlineLevel="0" collapsed="false">
      <c r="A361" s="32" t="str">
        <f aca="false">IF($B361="","",ROW()-5)</f>
        <v/>
      </c>
      <c r="B361" s="48"/>
      <c r="C361" s="49"/>
      <c r="D361" s="50"/>
      <c r="E361" s="51"/>
      <c r="F361" s="52"/>
      <c r="G361" s="53"/>
      <c r="H361" s="50"/>
      <c r="I361" s="51"/>
      <c r="J361" s="53"/>
      <c r="K361" s="53"/>
      <c r="L361" s="39" t="str">
        <f aca="false">IF($B361="","",IF($H361="","보유중","청산"))</f>
        <v/>
      </c>
      <c r="M361" s="40" t="str">
        <f aca="false">IF($B361="","",$E361*$F361)</f>
        <v/>
      </c>
      <c r="N361" s="40" t="str">
        <f aca="false">IF($L361="청산",$I361*$F361,"")</f>
        <v/>
      </c>
      <c r="O361" s="40" t="str">
        <f aca="false">IF($B361="","",$G361+$J361+$K361)</f>
        <v/>
      </c>
      <c r="P361" s="41" t="str">
        <f aca="false">IF($L361="청산",$N361-$M361-$O361,"")</f>
        <v/>
      </c>
      <c r="Q361" s="42" t="str">
        <f aca="false">IF($L361="청산",IF($M361=0,"",$P361/$M361),"")</f>
        <v/>
      </c>
      <c r="R361" s="43" t="str">
        <f aca="true">IF($B361="","",IF($L361="청산",$H361-$D361,IF($D361="","",TODAY()-$D361)))</f>
        <v/>
      </c>
      <c r="S361" s="44" t="str">
        <f aca="false">IF($L361="청산",DATE(YEAR($H361),MONTH($H361),1),"")</f>
        <v/>
      </c>
      <c r="T361" s="48"/>
      <c r="U361" s="49"/>
      <c r="V361" s="46" t="str">
        <f aca="false">IF($B361="","",IF($L361&lt;&gt;"청산",N(V360),IF($P361&gt;0,N(V360)+1,0)))</f>
        <v/>
      </c>
      <c r="W361" s="46" t="str">
        <f aca="false">IF($B361="","",IF($L361&lt;&gt;"청산",N(W360),IF($P361&lt;0,N(W360)+1,0)))</f>
        <v/>
      </c>
    </row>
    <row r="362" customFormat="false" ht="15" hidden="false" customHeight="false" outlineLevel="0" collapsed="false">
      <c r="A362" s="32" t="str">
        <f aca="false">IF($B362="","",ROW()-5)</f>
        <v/>
      </c>
      <c r="B362" s="48"/>
      <c r="C362" s="49"/>
      <c r="D362" s="50"/>
      <c r="E362" s="51"/>
      <c r="F362" s="52"/>
      <c r="G362" s="53"/>
      <c r="H362" s="50"/>
      <c r="I362" s="51"/>
      <c r="J362" s="53"/>
      <c r="K362" s="53"/>
      <c r="L362" s="39" t="str">
        <f aca="false">IF($B362="","",IF($H362="","보유중","청산"))</f>
        <v/>
      </c>
      <c r="M362" s="40" t="str">
        <f aca="false">IF($B362="","",$E362*$F362)</f>
        <v/>
      </c>
      <c r="N362" s="40" t="str">
        <f aca="false">IF($L362="청산",$I362*$F362,"")</f>
        <v/>
      </c>
      <c r="O362" s="40" t="str">
        <f aca="false">IF($B362="","",$G362+$J362+$K362)</f>
        <v/>
      </c>
      <c r="P362" s="41" t="str">
        <f aca="false">IF($L362="청산",$N362-$M362-$O362,"")</f>
        <v/>
      </c>
      <c r="Q362" s="42" t="str">
        <f aca="false">IF($L362="청산",IF($M362=0,"",$P362/$M362),"")</f>
        <v/>
      </c>
      <c r="R362" s="43" t="str">
        <f aca="true">IF($B362="","",IF($L362="청산",$H362-$D362,IF($D362="","",TODAY()-$D362)))</f>
        <v/>
      </c>
      <c r="S362" s="44" t="str">
        <f aca="false">IF($L362="청산",DATE(YEAR($H362),MONTH($H362),1),"")</f>
        <v/>
      </c>
      <c r="T362" s="48"/>
      <c r="U362" s="49"/>
      <c r="V362" s="46" t="str">
        <f aca="false">IF($B362="","",IF($L362&lt;&gt;"청산",N(V361),IF($P362&gt;0,N(V361)+1,0)))</f>
        <v/>
      </c>
      <c r="W362" s="46" t="str">
        <f aca="false">IF($B362="","",IF($L362&lt;&gt;"청산",N(W361),IF($P362&lt;0,N(W361)+1,0)))</f>
        <v/>
      </c>
    </row>
    <row r="363" customFormat="false" ht="15" hidden="false" customHeight="false" outlineLevel="0" collapsed="false">
      <c r="A363" s="32" t="str">
        <f aca="false">IF($B363="","",ROW()-5)</f>
        <v/>
      </c>
      <c r="B363" s="48"/>
      <c r="C363" s="49"/>
      <c r="D363" s="50"/>
      <c r="E363" s="51"/>
      <c r="F363" s="52"/>
      <c r="G363" s="53"/>
      <c r="H363" s="50"/>
      <c r="I363" s="51"/>
      <c r="J363" s="53"/>
      <c r="K363" s="53"/>
      <c r="L363" s="39" t="str">
        <f aca="false">IF($B363="","",IF($H363="","보유중","청산"))</f>
        <v/>
      </c>
      <c r="M363" s="40" t="str">
        <f aca="false">IF($B363="","",$E363*$F363)</f>
        <v/>
      </c>
      <c r="N363" s="40" t="str">
        <f aca="false">IF($L363="청산",$I363*$F363,"")</f>
        <v/>
      </c>
      <c r="O363" s="40" t="str">
        <f aca="false">IF($B363="","",$G363+$J363+$K363)</f>
        <v/>
      </c>
      <c r="P363" s="41" t="str">
        <f aca="false">IF($L363="청산",$N363-$M363-$O363,"")</f>
        <v/>
      </c>
      <c r="Q363" s="42" t="str">
        <f aca="false">IF($L363="청산",IF($M363=0,"",$P363/$M363),"")</f>
        <v/>
      </c>
      <c r="R363" s="43" t="str">
        <f aca="true">IF($B363="","",IF($L363="청산",$H363-$D363,IF($D363="","",TODAY()-$D363)))</f>
        <v/>
      </c>
      <c r="S363" s="44" t="str">
        <f aca="false">IF($L363="청산",DATE(YEAR($H363),MONTH($H363),1),"")</f>
        <v/>
      </c>
      <c r="T363" s="48"/>
      <c r="U363" s="49"/>
      <c r="V363" s="46" t="str">
        <f aca="false">IF($B363="","",IF($L363&lt;&gt;"청산",N(V362),IF($P363&gt;0,N(V362)+1,0)))</f>
        <v/>
      </c>
      <c r="W363" s="46" t="str">
        <f aca="false">IF($B363="","",IF($L363&lt;&gt;"청산",N(W362),IF($P363&lt;0,N(W362)+1,0)))</f>
        <v/>
      </c>
    </row>
    <row r="364" customFormat="false" ht="15" hidden="false" customHeight="false" outlineLevel="0" collapsed="false">
      <c r="A364" s="32" t="str">
        <f aca="false">IF($B364="","",ROW()-5)</f>
        <v/>
      </c>
      <c r="B364" s="48"/>
      <c r="C364" s="49"/>
      <c r="D364" s="50"/>
      <c r="E364" s="51"/>
      <c r="F364" s="52"/>
      <c r="G364" s="53"/>
      <c r="H364" s="50"/>
      <c r="I364" s="51"/>
      <c r="J364" s="53"/>
      <c r="K364" s="53"/>
      <c r="L364" s="39" t="str">
        <f aca="false">IF($B364="","",IF($H364="","보유중","청산"))</f>
        <v/>
      </c>
      <c r="M364" s="40" t="str">
        <f aca="false">IF($B364="","",$E364*$F364)</f>
        <v/>
      </c>
      <c r="N364" s="40" t="str">
        <f aca="false">IF($L364="청산",$I364*$F364,"")</f>
        <v/>
      </c>
      <c r="O364" s="40" t="str">
        <f aca="false">IF($B364="","",$G364+$J364+$K364)</f>
        <v/>
      </c>
      <c r="P364" s="41" t="str">
        <f aca="false">IF($L364="청산",$N364-$M364-$O364,"")</f>
        <v/>
      </c>
      <c r="Q364" s="42" t="str">
        <f aca="false">IF($L364="청산",IF($M364=0,"",$P364/$M364),"")</f>
        <v/>
      </c>
      <c r="R364" s="43" t="str">
        <f aca="true">IF($B364="","",IF($L364="청산",$H364-$D364,IF($D364="","",TODAY()-$D364)))</f>
        <v/>
      </c>
      <c r="S364" s="44" t="str">
        <f aca="false">IF($L364="청산",DATE(YEAR($H364),MONTH($H364),1),"")</f>
        <v/>
      </c>
      <c r="T364" s="48"/>
      <c r="U364" s="49"/>
      <c r="V364" s="46" t="str">
        <f aca="false">IF($B364="","",IF($L364&lt;&gt;"청산",N(V363),IF($P364&gt;0,N(V363)+1,0)))</f>
        <v/>
      </c>
      <c r="W364" s="46" t="str">
        <f aca="false">IF($B364="","",IF($L364&lt;&gt;"청산",N(W363),IF($P364&lt;0,N(W363)+1,0)))</f>
        <v/>
      </c>
    </row>
    <row r="365" customFormat="false" ht="15" hidden="false" customHeight="false" outlineLevel="0" collapsed="false">
      <c r="A365" s="32" t="str">
        <f aca="false">IF($B365="","",ROW()-5)</f>
        <v/>
      </c>
      <c r="B365" s="48"/>
      <c r="C365" s="49"/>
      <c r="D365" s="50"/>
      <c r="E365" s="51"/>
      <c r="F365" s="52"/>
      <c r="G365" s="53"/>
      <c r="H365" s="50"/>
      <c r="I365" s="51"/>
      <c r="J365" s="53"/>
      <c r="K365" s="53"/>
      <c r="L365" s="39" t="str">
        <f aca="false">IF($B365="","",IF($H365="","보유중","청산"))</f>
        <v/>
      </c>
      <c r="M365" s="40" t="str">
        <f aca="false">IF($B365="","",$E365*$F365)</f>
        <v/>
      </c>
      <c r="N365" s="40" t="str">
        <f aca="false">IF($L365="청산",$I365*$F365,"")</f>
        <v/>
      </c>
      <c r="O365" s="40" t="str">
        <f aca="false">IF($B365="","",$G365+$J365+$K365)</f>
        <v/>
      </c>
      <c r="P365" s="41" t="str">
        <f aca="false">IF($L365="청산",$N365-$M365-$O365,"")</f>
        <v/>
      </c>
      <c r="Q365" s="42" t="str">
        <f aca="false">IF($L365="청산",IF($M365=0,"",$P365/$M365),"")</f>
        <v/>
      </c>
      <c r="R365" s="43" t="str">
        <f aca="true">IF($B365="","",IF($L365="청산",$H365-$D365,IF($D365="","",TODAY()-$D365)))</f>
        <v/>
      </c>
      <c r="S365" s="44" t="str">
        <f aca="false">IF($L365="청산",DATE(YEAR($H365),MONTH($H365),1),"")</f>
        <v/>
      </c>
      <c r="T365" s="48"/>
      <c r="U365" s="49"/>
      <c r="V365" s="46" t="str">
        <f aca="false">IF($B365="","",IF($L365&lt;&gt;"청산",N(V364),IF($P365&gt;0,N(V364)+1,0)))</f>
        <v/>
      </c>
      <c r="W365" s="46" t="str">
        <f aca="false">IF($B365="","",IF($L365&lt;&gt;"청산",N(W364),IF($P365&lt;0,N(W364)+1,0)))</f>
        <v/>
      </c>
    </row>
    <row r="366" customFormat="false" ht="15" hidden="false" customHeight="false" outlineLevel="0" collapsed="false">
      <c r="A366" s="32" t="str">
        <f aca="false">IF($B366="","",ROW()-5)</f>
        <v/>
      </c>
      <c r="B366" s="48"/>
      <c r="C366" s="49"/>
      <c r="D366" s="50"/>
      <c r="E366" s="51"/>
      <c r="F366" s="52"/>
      <c r="G366" s="53"/>
      <c r="H366" s="50"/>
      <c r="I366" s="51"/>
      <c r="J366" s="53"/>
      <c r="K366" s="53"/>
      <c r="L366" s="39" t="str">
        <f aca="false">IF($B366="","",IF($H366="","보유중","청산"))</f>
        <v/>
      </c>
      <c r="M366" s="40" t="str">
        <f aca="false">IF($B366="","",$E366*$F366)</f>
        <v/>
      </c>
      <c r="N366" s="40" t="str">
        <f aca="false">IF($L366="청산",$I366*$F366,"")</f>
        <v/>
      </c>
      <c r="O366" s="40" t="str">
        <f aca="false">IF($B366="","",$G366+$J366+$K366)</f>
        <v/>
      </c>
      <c r="P366" s="41" t="str">
        <f aca="false">IF($L366="청산",$N366-$M366-$O366,"")</f>
        <v/>
      </c>
      <c r="Q366" s="42" t="str">
        <f aca="false">IF($L366="청산",IF($M366=0,"",$P366/$M366),"")</f>
        <v/>
      </c>
      <c r="R366" s="43" t="str">
        <f aca="true">IF($B366="","",IF($L366="청산",$H366-$D366,IF($D366="","",TODAY()-$D366)))</f>
        <v/>
      </c>
      <c r="S366" s="44" t="str">
        <f aca="false">IF($L366="청산",DATE(YEAR($H366),MONTH($H366),1),"")</f>
        <v/>
      </c>
      <c r="T366" s="48"/>
      <c r="U366" s="49"/>
      <c r="V366" s="46" t="str">
        <f aca="false">IF($B366="","",IF($L366&lt;&gt;"청산",N(V365),IF($P366&gt;0,N(V365)+1,0)))</f>
        <v/>
      </c>
      <c r="W366" s="46" t="str">
        <f aca="false">IF($B366="","",IF($L366&lt;&gt;"청산",N(W365),IF($P366&lt;0,N(W365)+1,0)))</f>
        <v/>
      </c>
    </row>
    <row r="367" customFormat="false" ht="15" hidden="false" customHeight="false" outlineLevel="0" collapsed="false">
      <c r="A367" s="32" t="str">
        <f aca="false">IF($B367="","",ROW()-5)</f>
        <v/>
      </c>
      <c r="B367" s="48"/>
      <c r="C367" s="49"/>
      <c r="D367" s="50"/>
      <c r="E367" s="51"/>
      <c r="F367" s="52"/>
      <c r="G367" s="53"/>
      <c r="H367" s="50"/>
      <c r="I367" s="51"/>
      <c r="J367" s="53"/>
      <c r="K367" s="53"/>
      <c r="L367" s="39" t="str">
        <f aca="false">IF($B367="","",IF($H367="","보유중","청산"))</f>
        <v/>
      </c>
      <c r="M367" s="40" t="str">
        <f aca="false">IF($B367="","",$E367*$F367)</f>
        <v/>
      </c>
      <c r="N367" s="40" t="str">
        <f aca="false">IF($L367="청산",$I367*$F367,"")</f>
        <v/>
      </c>
      <c r="O367" s="40" t="str">
        <f aca="false">IF($B367="","",$G367+$J367+$K367)</f>
        <v/>
      </c>
      <c r="P367" s="41" t="str">
        <f aca="false">IF($L367="청산",$N367-$M367-$O367,"")</f>
        <v/>
      </c>
      <c r="Q367" s="42" t="str">
        <f aca="false">IF($L367="청산",IF($M367=0,"",$P367/$M367),"")</f>
        <v/>
      </c>
      <c r="R367" s="43" t="str">
        <f aca="true">IF($B367="","",IF($L367="청산",$H367-$D367,IF($D367="","",TODAY()-$D367)))</f>
        <v/>
      </c>
      <c r="S367" s="44" t="str">
        <f aca="false">IF($L367="청산",DATE(YEAR($H367),MONTH($H367),1),"")</f>
        <v/>
      </c>
      <c r="T367" s="48"/>
      <c r="U367" s="49"/>
      <c r="V367" s="46" t="str">
        <f aca="false">IF($B367="","",IF($L367&lt;&gt;"청산",N(V366),IF($P367&gt;0,N(V366)+1,0)))</f>
        <v/>
      </c>
      <c r="W367" s="46" t="str">
        <f aca="false">IF($B367="","",IF($L367&lt;&gt;"청산",N(W366),IF($P367&lt;0,N(W366)+1,0)))</f>
        <v/>
      </c>
    </row>
    <row r="368" customFormat="false" ht="15" hidden="false" customHeight="false" outlineLevel="0" collapsed="false">
      <c r="A368" s="32" t="str">
        <f aca="false">IF($B368="","",ROW()-5)</f>
        <v/>
      </c>
      <c r="B368" s="48"/>
      <c r="C368" s="49"/>
      <c r="D368" s="50"/>
      <c r="E368" s="51"/>
      <c r="F368" s="52"/>
      <c r="G368" s="53"/>
      <c r="H368" s="50"/>
      <c r="I368" s="51"/>
      <c r="J368" s="53"/>
      <c r="K368" s="53"/>
      <c r="L368" s="39" t="str">
        <f aca="false">IF($B368="","",IF($H368="","보유중","청산"))</f>
        <v/>
      </c>
      <c r="M368" s="40" t="str">
        <f aca="false">IF($B368="","",$E368*$F368)</f>
        <v/>
      </c>
      <c r="N368" s="40" t="str">
        <f aca="false">IF($L368="청산",$I368*$F368,"")</f>
        <v/>
      </c>
      <c r="O368" s="40" t="str">
        <f aca="false">IF($B368="","",$G368+$J368+$K368)</f>
        <v/>
      </c>
      <c r="P368" s="41" t="str">
        <f aca="false">IF($L368="청산",$N368-$M368-$O368,"")</f>
        <v/>
      </c>
      <c r="Q368" s="42" t="str">
        <f aca="false">IF($L368="청산",IF($M368=0,"",$P368/$M368),"")</f>
        <v/>
      </c>
      <c r="R368" s="43" t="str">
        <f aca="true">IF($B368="","",IF($L368="청산",$H368-$D368,IF($D368="","",TODAY()-$D368)))</f>
        <v/>
      </c>
      <c r="S368" s="44" t="str">
        <f aca="false">IF($L368="청산",DATE(YEAR($H368),MONTH($H368),1),"")</f>
        <v/>
      </c>
      <c r="T368" s="48"/>
      <c r="U368" s="49"/>
      <c r="V368" s="46" t="str">
        <f aca="false">IF($B368="","",IF($L368&lt;&gt;"청산",N(V367),IF($P368&gt;0,N(V367)+1,0)))</f>
        <v/>
      </c>
      <c r="W368" s="46" t="str">
        <f aca="false">IF($B368="","",IF($L368&lt;&gt;"청산",N(W367),IF($P368&lt;0,N(W367)+1,0)))</f>
        <v/>
      </c>
    </row>
    <row r="369" customFormat="false" ht="15" hidden="false" customHeight="false" outlineLevel="0" collapsed="false">
      <c r="A369" s="32" t="str">
        <f aca="false">IF($B369="","",ROW()-5)</f>
        <v/>
      </c>
      <c r="B369" s="48"/>
      <c r="C369" s="49"/>
      <c r="D369" s="50"/>
      <c r="E369" s="51"/>
      <c r="F369" s="52"/>
      <c r="G369" s="53"/>
      <c r="H369" s="50"/>
      <c r="I369" s="51"/>
      <c r="J369" s="53"/>
      <c r="K369" s="53"/>
      <c r="L369" s="39" t="str">
        <f aca="false">IF($B369="","",IF($H369="","보유중","청산"))</f>
        <v/>
      </c>
      <c r="M369" s="40" t="str">
        <f aca="false">IF($B369="","",$E369*$F369)</f>
        <v/>
      </c>
      <c r="N369" s="40" t="str">
        <f aca="false">IF($L369="청산",$I369*$F369,"")</f>
        <v/>
      </c>
      <c r="O369" s="40" t="str">
        <f aca="false">IF($B369="","",$G369+$J369+$K369)</f>
        <v/>
      </c>
      <c r="P369" s="41" t="str">
        <f aca="false">IF($L369="청산",$N369-$M369-$O369,"")</f>
        <v/>
      </c>
      <c r="Q369" s="42" t="str">
        <f aca="false">IF($L369="청산",IF($M369=0,"",$P369/$M369),"")</f>
        <v/>
      </c>
      <c r="R369" s="43" t="str">
        <f aca="true">IF($B369="","",IF($L369="청산",$H369-$D369,IF($D369="","",TODAY()-$D369)))</f>
        <v/>
      </c>
      <c r="S369" s="44" t="str">
        <f aca="false">IF($L369="청산",DATE(YEAR($H369),MONTH($H369),1),"")</f>
        <v/>
      </c>
      <c r="T369" s="48"/>
      <c r="U369" s="49"/>
      <c r="V369" s="46" t="str">
        <f aca="false">IF($B369="","",IF($L369&lt;&gt;"청산",N(V368),IF($P369&gt;0,N(V368)+1,0)))</f>
        <v/>
      </c>
      <c r="W369" s="46" t="str">
        <f aca="false">IF($B369="","",IF($L369&lt;&gt;"청산",N(W368),IF($P369&lt;0,N(W368)+1,0)))</f>
        <v/>
      </c>
    </row>
    <row r="370" customFormat="false" ht="15" hidden="false" customHeight="false" outlineLevel="0" collapsed="false">
      <c r="A370" s="32" t="str">
        <f aca="false">IF($B370="","",ROW()-5)</f>
        <v/>
      </c>
      <c r="B370" s="48"/>
      <c r="C370" s="49"/>
      <c r="D370" s="50"/>
      <c r="E370" s="51"/>
      <c r="F370" s="52"/>
      <c r="G370" s="53"/>
      <c r="H370" s="50"/>
      <c r="I370" s="51"/>
      <c r="J370" s="53"/>
      <c r="K370" s="53"/>
      <c r="L370" s="39" t="str">
        <f aca="false">IF($B370="","",IF($H370="","보유중","청산"))</f>
        <v/>
      </c>
      <c r="M370" s="40" t="str">
        <f aca="false">IF($B370="","",$E370*$F370)</f>
        <v/>
      </c>
      <c r="N370" s="40" t="str">
        <f aca="false">IF($L370="청산",$I370*$F370,"")</f>
        <v/>
      </c>
      <c r="O370" s="40" t="str">
        <f aca="false">IF($B370="","",$G370+$J370+$K370)</f>
        <v/>
      </c>
      <c r="P370" s="41" t="str">
        <f aca="false">IF($L370="청산",$N370-$M370-$O370,"")</f>
        <v/>
      </c>
      <c r="Q370" s="42" t="str">
        <f aca="false">IF($L370="청산",IF($M370=0,"",$P370/$M370),"")</f>
        <v/>
      </c>
      <c r="R370" s="43" t="str">
        <f aca="true">IF($B370="","",IF($L370="청산",$H370-$D370,IF($D370="","",TODAY()-$D370)))</f>
        <v/>
      </c>
      <c r="S370" s="44" t="str">
        <f aca="false">IF($L370="청산",DATE(YEAR($H370),MONTH($H370),1),"")</f>
        <v/>
      </c>
      <c r="T370" s="48"/>
      <c r="U370" s="49"/>
      <c r="V370" s="46" t="str">
        <f aca="false">IF($B370="","",IF($L370&lt;&gt;"청산",N(V369),IF($P370&gt;0,N(V369)+1,0)))</f>
        <v/>
      </c>
      <c r="W370" s="46" t="str">
        <f aca="false">IF($B370="","",IF($L370&lt;&gt;"청산",N(W369),IF($P370&lt;0,N(W369)+1,0)))</f>
        <v/>
      </c>
    </row>
    <row r="371" customFormat="false" ht="15" hidden="false" customHeight="false" outlineLevel="0" collapsed="false">
      <c r="A371" s="32" t="str">
        <f aca="false">IF($B371="","",ROW()-5)</f>
        <v/>
      </c>
      <c r="B371" s="48"/>
      <c r="C371" s="49"/>
      <c r="D371" s="50"/>
      <c r="E371" s="51"/>
      <c r="F371" s="52"/>
      <c r="G371" s="53"/>
      <c r="H371" s="50"/>
      <c r="I371" s="51"/>
      <c r="J371" s="53"/>
      <c r="K371" s="53"/>
      <c r="L371" s="39" t="str">
        <f aca="false">IF($B371="","",IF($H371="","보유중","청산"))</f>
        <v/>
      </c>
      <c r="M371" s="40" t="str">
        <f aca="false">IF($B371="","",$E371*$F371)</f>
        <v/>
      </c>
      <c r="N371" s="40" t="str">
        <f aca="false">IF($L371="청산",$I371*$F371,"")</f>
        <v/>
      </c>
      <c r="O371" s="40" t="str">
        <f aca="false">IF($B371="","",$G371+$J371+$K371)</f>
        <v/>
      </c>
      <c r="P371" s="41" t="str">
        <f aca="false">IF($L371="청산",$N371-$M371-$O371,"")</f>
        <v/>
      </c>
      <c r="Q371" s="42" t="str">
        <f aca="false">IF($L371="청산",IF($M371=0,"",$P371/$M371),"")</f>
        <v/>
      </c>
      <c r="R371" s="43" t="str">
        <f aca="true">IF($B371="","",IF($L371="청산",$H371-$D371,IF($D371="","",TODAY()-$D371)))</f>
        <v/>
      </c>
      <c r="S371" s="44" t="str">
        <f aca="false">IF($L371="청산",DATE(YEAR($H371),MONTH($H371),1),"")</f>
        <v/>
      </c>
      <c r="T371" s="48"/>
      <c r="U371" s="49"/>
      <c r="V371" s="46" t="str">
        <f aca="false">IF($B371="","",IF($L371&lt;&gt;"청산",N(V370),IF($P371&gt;0,N(V370)+1,0)))</f>
        <v/>
      </c>
      <c r="W371" s="46" t="str">
        <f aca="false">IF($B371="","",IF($L371&lt;&gt;"청산",N(W370),IF($P371&lt;0,N(W370)+1,0)))</f>
        <v/>
      </c>
    </row>
    <row r="372" customFormat="false" ht="15" hidden="false" customHeight="false" outlineLevel="0" collapsed="false">
      <c r="A372" s="32" t="str">
        <f aca="false">IF($B372="","",ROW()-5)</f>
        <v/>
      </c>
      <c r="B372" s="48"/>
      <c r="C372" s="49"/>
      <c r="D372" s="50"/>
      <c r="E372" s="51"/>
      <c r="F372" s="52"/>
      <c r="G372" s="53"/>
      <c r="H372" s="50"/>
      <c r="I372" s="51"/>
      <c r="J372" s="53"/>
      <c r="K372" s="53"/>
      <c r="L372" s="39" t="str">
        <f aca="false">IF($B372="","",IF($H372="","보유중","청산"))</f>
        <v/>
      </c>
      <c r="M372" s="40" t="str">
        <f aca="false">IF($B372="","",$E372*$F372)</f>
        <v/>
      </c>
      <c r="N372" s="40" t="str">
        <f aca="false">IF($L372="청산",$I372*$F372,"")</f>
        <v/>
      </c>
      <c r="O372" s="40" t="str">
        <f aca="false">IF($B372="","",$G372+$J372+$K372)</f>
        <v/>
      </c>
      <c r="P372" s="41" t="str">
        <f aca="false">IF($L372="청산",$N372-$M372-$O372,"")</f>
        <v/>
      </c>
      <c r="Q372" s="42" t="str">
        <f aca="false">IF($L372="청산",IF($M372=0,"",$P372/$M372),"")</f>
        <v/>
      </c>
      <c r="R372" s="43" t="str">
        <f aca="true">IF($B372="","",IF($L372="청산",$H372-$D372,IF($D372="","",TODAY()-$D372)))</f>
        <v/>
      </c>
      <c r="S372" s="44" t="str">
        <f aca="false">IF($L372="청산",DATE(YEAR($H372),MONTH($H372),1),"")</f>
        <v/>
      </c>
      <c r="T372" s="48"/>
      <c r="U372" s="49"/>
      <c r="V372" s="46" t="str">
        <f aca="false">IF($B372="","",IF($L372&lt;&gt;"청산",N(V371),IF($P372&gt;0,N(V371)+1,0)))</f>
        <v/>
      </c>
      <c r="W372" s="46" t="str">
        <f aca="false">IF($B372="","",IF($L372&lt;&gt;"청산",N(W371),IF($P372&lt;0,N(W371)+1,0)))</f>
        <v/>
      </c>
    </row>
    <row r="373" customFormat="false" ht="15" hidden="false" customHeight="false" outlineLevel="0" collapsed="false">
      <c r="A373" s="32" t="str">
        <f aca="false">IF($B373="","",ROW()-5)</f>
        <v/>
      </c>
      <c r="B373" s="48"/>
      <c r="C373" s="49"/>
      <c r="D373" s="50"/>
      <c r="E373" s="51"/>
      <c r="F373" s="52"/>
      <c r="G373" s="53"/>
      <c r="H373" s="50"/>
      <c r="I373" s="51"/>
      <c r="J373" s="53"/>
      <c r="K373" s="53"/>
      <c r="L373" s="39" t="str">
        <f aca="false">IF($B373="","",IF($H373="","보유중","청산"))</f>
        <v/>
      </c>
      <c r="M373" s="40" t="str">
        <f aca="false">IF($B373="","",$E373*$F373)</f>
        <v/>
      </c>
      <c r="N373" s="40" t="str">
        <f aca="false">IF($L373="청산",$I373*$F373,"")</f>
        <v/>
      </c>
      <c r="O373" s="40" t="str">
        <f aca="false">IF($B373="","",$G373+$J373+$K373)</f>
        <v/>
      </c>
      <c r="P373" s="41" t="str">
        <f aca="false">IF($L373="청산",$N373-$M373-$O373,"")</f>
        <v/>
      </c>
      <c r="Q373" s="42" t="str">
        <f aca="false">IF($L373="청산",IF($M373=0,"",$P373/$M373),"")</f>
        <v/>
      </c>
      <c r="R373" s="43" t="str">
        <f aca="true">IF($B373="","",IF($L373="청산",$H373-$D373,IF($D373="","",TODAY()-$D373)))</f>
        <v/>
      </c>
      <c r="S373" s="44" t="str">
        <f aca="false">IF($L373="청산",DATE(YEAR($H373),MONTH($H373),1),"")</f>
        <v/>
      </c>
      <c r="T373" s="48"/>
      <c r="U373" s="49"/>
      <c r="V373" s="46" t="str">
        <f aca="false">IF($B373="","",IF($L373&lt;&gt;"청산",N(V372),IF($P373&gt;0,N(V372)+1,0)))</f>
        <v/>
      </c>
      <c r="W373" s="46" t="str">
        <f aca="false">IF($B373="","",IF($L373&lt;&gt;"청산",N(W372),IF($P373&lt;0,N(W372)+1,0)))</f>
        <v/>
      </c>
    </row>
    <row r="374" customFormat="false" ht="15" hidden="false" customHeight="false" outlineLevel="0" collapsed="false">
      <c r="A374" s="32" t="str">
        <f aca="false">IF($B374="","",ROW()-5)</f>
        <v/>
      </c>
      <c r="B374" s="48"/>
      <c r="C374" s="49"/>
      <c r="D374" s="50"/>
      <c r="E374" s="51"/>
      <c r="F374" s="52"/>
      <c r="G374" s="53"/>
      <c r="H374" s="50"/>
      <c r="I374" s="51"/>
      <c r="J374" s="53"/>
      <c r="K374" s="53"/>
      <c r="L374" s="39" t="str">
        <f aca="false">IF($B374="","",IF($H374="","보유중","청산"))</f>
        <v/>
      </c>
      <c r="M374" s="40" t="str">
        <f aca="false">IF($B374="","",$E374*$F374)</f>
        <v/>
      </c>
      <c r="N374" s="40" t="str">
        <f aca="false">IF($L374="청산",$I374*$F374,"")</f>
        <v/>
      </c>
      <c r="O374" s="40" t="str">
        <f aca="false">IF($B374="","",$G374+$J374+$K374)</f>
        <v/>
      </c>
      <c r="P374" s="41" t="str">
        <f aca="false">IF($L374="청산",$N374-$M374-$O374,"")</f>
        <v/>
      </c>
      <c r="Q374" s="42" t="str">
        <f aca="false">IF($L374="청산",IF($M374=0,"",$P374/$M374),"")</f>
        <v/>
      </c>
      <c r="R374" s="43" t="str">
        <f aca="true">IF($B374="","",IF($L374="청산",$H374-$D374,IF($D374="","",TODAY()-$D374)))</f>
        <v/>
      </c>
      <c r="S374" s="44" t="str">
        <f aca="false">IF($L374="청산",DATE(YEAR($H374),MONTH($H374),1),"")</f>
        <v/>
      </c>
      <c r="T374" s="48"/>
      <c r="U374" s="49"/>
      <c r="V374" s="46" t="str">
        <f aca="false">IF($B374="","",IF($L374&lt;&gt;"청산",N(V373),IF($P374&gt;0,N(V373)+1,0)))</f>
        <v/>
      </c>
      <c r="W374" s="46" t="str">
        <f aca="false">IF($B374="","",IF($L374&lt;&gt;"청산",N(W373),IF($P374&lt;0,N(W373)+1,0)))</f>
        <v/>
      </c>
    </row>
    <row r="375" customFormat="false" ht="15" hidden="false" customHeight="false" outlineLevel="0" collapsed="false">
      <c r="A375" s="32" t="str">
        <f aca="false">IF($B375="","",ROW()-5)</f>
        <v/>
      </c>
      <c r="B375" s="48"/>
      <c r="C375" s="49"/>
      <c r="D375" s="50"/>
      <c r="E375" s="51"/>
      <c r="F375" s="52"/>
      <c r="G375" s="53"/>
      <c r="H375" s="50"/>
      <c r="I375" s="51"/>
      <c r="J375" s="53"/>
      <c r="K375" s="53"/>
      <c r="L375" s="39" t="str">
        <f aca="false">IF($B375="","",IF($H375="","보유중","청산"))</f>
        <v/>
      </c>
      <c r="M375" s="40" t="str">
        <f aca="false">IF($B375="","",$E375*$F375)</f>
        <v/>
      </c>
      <c r="N375" s="40" t="str">
        <f aca="false">IF($L375="청산",$I375*$F375,"")</f>
        <v/>
      </c>
      <c r="O375" s="40" t="str">
        <f aca="false">IF($B375="","",$G375+$J375+$K375)</f>
        <v/>
      </c>
      <c r="P375" s="41" t="str">
        <f aca="false">IF($L375="청산",$N375-$M375-$O375,"")</f>
        <v/>
      </c>
      <c r="Q375" s="42" t="str">
        <f aca="false">IF($L375="청산",IF($M375=0,"",$P375/$M375),"")</f>
        <v/>
      </c>
      <c r="R375" s="43" t="str">
        <f aca="true">IF($B375="","",IF($L375="청산",$H375-$D375,IF($D375="","",TODAY()-$D375)))</f>
        <v/>
      </c>
      <c r="S375" s="44" t="str">
        <f aca="false">IF($L375="청산",DATE(YEAR($H375),MONTH($H375),1),"")</f>
        <v/>
      </c>
      <c r="T375" s="48"/>
      <c r="U375" s="49"/>
      <c r="V375" s="46" t="str">
        <f aca="false">IF($B375="","",IF($L375&lt;&gt;"청산",N(V374),IF($P375&gt;0,N(V374)+1,0)))</f>
        <v/>
      </c>
      <c r="W375" s="46" t="str">
        <f aca="false">IF($B375="","",IF($L375&lt;&gt;"청산",N(W374),IF($P375&lt;0,N(W374)+1,0)))</f>
        <v/>
      </c>
    </row>
    <row r="376" customFormat="false" ht="15" hidden="false" customHeight="false" outlineLevel="0" collapsed="false">
      <c r="A376" s="32" t="str">
        <f aca="false">IF($B376="","",ROW()-5)</f>
        <v/>
      </c>
      <c r="B376" s="48"/>
      <c r="C376" s="49"/>
      <c r="D376" s="50"/>
      <c r="E376" s="51"/>
      <c r="F376" s="52"/>
      <c r="G376" s="53"/>
      <c r="H376" s="50"/>
      <c r="I376" s="51"/>
      <c r="J376" s="53"/>
      <c r="K376" s="53"/>
      <c r="L376" s="39" t="str">
        <f aca="false">IF($B376="","",IF($H376="","보유중","청산"))</f>
        <v/>
      </c>
      <c r="M376" s="40" t="str">
        <f aca="false">IF($B376="","",$E376*$F376)</f>
        <v/>
      </c>
      <c r="N376" s="40" t="str">
        <f aca="false">IF($L376="청산",$I376*$F376,"")</f>
        <v/>
      </c>
      <c r="O376" s="40" t="str">
        <f aca="false">IF($B376="","",$G376+$J376+$K376)</f>
        <v/>
      </c>
      <c r="P376" s="41" t="str">
        <f aca="false">IF($L376="청산",$N376-$M376-$O376,"")</f>
        <v/>
      </c>
      <c r="Q376" s="42" t="str">
        <f aca="false">IF($L376="청산",IF($M376=0,"",$P376/$M376),"")</f>
        <v/>
      </c>
      <c r="R376" s="43" t="str">
        <f aca="true">IF($B376="","",IF($L376="청산",$H376-$D376,IF($D376="","",TODAY()-$D376)))</f>
        <v/>
      </c>
      <c r="S376" s="44" t="str">
        <f aca="false">IF($L376="청산",DATE(YEAR($H376),MONTH($H376),1),"")</f>
        <v/>
      </c>
      <c r="T376" s="48"/>
      <c r="U376" s="49"/>
      <c r="V376" s="46" t="str">
        <f aca="false">IF($B376="","",IF($L376&lt;&gt;"청산",N(V375),IF($P376&gt;0,N(V375)+1,0)))</f>
        <v/>
      </c>
      <c r="W376" s="46" t="str">
        <f aca="false">IF($B376="","",IF($L376&lt;&gt;"청산",N(W375),IF($P376&lt;0,N(W375)+1,0)))</f>
        <v/>
      </c>
    </row>
    <row r="377" customFormat="false" ht="15" hidden="false" customHeight="false" outlineLevel="0" collapsed="false">
      <c r="A377" s="32" t="str">
        <f aca="false">IF($B377="","",ROW()-5)</f>
        <v/>
      </c>
      <c r="B377" s="48"/>
      <c r="C377" s="49"/>
      <c r="D377" s="50"/>
      <c r="E377" s="51"/>
      <c r="F377" s="52"/>
      <c r="G377" s="53"/>
      <c r="H377" s="50"/>
      <c r="I377" s="51"/>
      <c r="J377" s="53"/>
      <c r="K377" s="53"/>
      <c r="L377" s="39" t="str">
        <f aca="false">IF($B377="","",IF($H377="","보유중","청산"))</f>
        <v/>
      </c>
      <c r="M377" s="40" t="str">
        <f aca="false">IF($B377="","",$E377*$F377)</f>
        <v/>
      </c>
      <c r="N377" s="40" t="str">
        <f aca="false">IF($L377="청산",$I377*$F377,"")</f>
        <v/>
      </c>
      <c r="O377" s="40" t="str">
        <f aca="false">IF($B377="","",$G377+$J377+$K377)</f>
        <v/>
      </c>
      <c r="P377" s="41" t="str">
        <f aca="false">IF($L377="청산",$N377-$M377-$O377,"")</f>
        <v/>
      </c>
      <c r="Q377" s="42" t="str">
        <f aca="false">IF($L377="청산",IF($M377=0,"",$P377/$M377),"")</f>
        <v/>
      </c>
      <c r="R377" s="43" t="str">
        <f aca="true">IF($B377="","",IF($L377="청산",$H377-$D377,IF($D377="","",TODAY()-$D377)))</f>
        <v/>
      </c>
      <c r="S377" s="44" t="str">
        <f aca="false">IF($L377="청산",DATE(YEAR($H377),MONTH($H377),1),"")</f>
        <v/>
      </c>
      <c r="T377" s="48"/>
      <c r="U377" s="49"/>
      <c r="V377" s="46" t="str">
        <f aca="false">IF($B377="","",IF($L377&lt;&gt;"청산",N(V376),IF($P377&gt;0,N(V376)+1,0)))</f>
        <v/>
      </c>
      <c r="W377" s="46" t="str">
        <f aca="false">IF($B377="","",IF($L377&lt;&gt;"청산",N(W376),IF($P377&lt;0,N(W376)+1,0)))</f>
        <v/>
      </c>
    </row>
    <row r="378" customFormat="false" ht="15" hidden="false" customHeight="false" outlineLevel="0" collapsed="false">
      <c r="A378" s="32" t="str">
        <f aca="false">IF($B378="","",ROW()-5)</f>
        <v/>
      </c>
      <c r="B378" s="48"/>
      <c r="C378" s="49"/>
      <c r="D378" s="50"/>
      <c r="E378" s="51"/>
      <c r="F378" s="52"/>
      <c r="G378" s="53"/>
      <c r="H378" s="50"/>
      <c r="I378" s="51"/>
      <c r="J378" s="53"/>
      <c r="K378" s="53"/>
      <c r="L378" s="39" t="str">
        <f aca="false">IF($B378="","",IF($H378="","보유중","청산"))</f>
        <v/>
      </c>
      <c r="M378" s="40" t="str">
        <f aca="false">IF($B378="","",$E378*$F378)</f>
        <v/>
      </c>
      <c r="N378" s="40" t="str">
        <f aca="false">IF($L378="청산",$I378*$F378,"")</f>
        <v/>
      </c>
      <c r="O378" s="40" t="str">
        <f aca="false">IF($B378="","",$G378+$J378+$K378)</f>
        <v/>
      </c>
      <c r="P378" s="41" t="str">
        <f aca="false">IF($L378="청산",$N378-$M378-$O378,"")</f>
        <v/>
      </c>
      <c r="Q378" s="42" t="str">
        <f aca="false">IF($L378="청산",IF($M378=0,"",$P378/$M378),"")</f>
        <v/>
      </c>
      <c r="R378" s="43" t="str">
        <f aca="true">IF($B378="","",IF($L378="청산",$H378-$D378,IF($D378="","",TODAY()-$D378)))</f>
        <v/>
      </c>
      <c r="S378" s="44" t="str">
        <f aca="false">IF($L378="청산",DATE(YEAR($H378),MONTH($H378),1),"")</f>
        <v/>
      </c>
      <c r="T378" s="48"/>
      <c r="U378" s="49"/>
      <c r="V378" s="46" t="str">
        <f aca="false">IF($B378="","",IF($L378&lt;&gt;"청산",N(V377),IF($P378&gt;0,N(V377)+1,0)))</f>
        <v/>
      </c>
      <c r="W378" s="46" t="str">
        <f aca="false">IF($B378="","",IF($L378&lt;&gt;"청산",N(W377),IF($P378&lt;0,N(W377)+1,0)))</f>
        <v/>
      </c>
    </row>
    <row r="379" customFormat="false" ht="15" hidden="false" customHeight="false" outlineLevel="0" collapsed="false">
      <c r="A379" s="32" t="str">
        <f aca="false">IF($B379="","",ROW()-5)</f>
        <v/>
      </c>
      <c r="B379" s="48"/>
      <c r="C379" s="49"/>
      <c r="D379" s="50"/>
      <c r="E379" s="51"/>
      <c r="F379" s="52"/>
      <c r="G379" s="53"/>
      <c r="H379" s="50"/>
      <c r="I379" s="51"/>
      <c r="J379" s="53"/>
      <c r="K379" s="53"/>
      <c r="L379" s="39" t="str">
        <f aca="false">IF($B379="","",IF($H379="","보유중","청산"))</f>
        <v/>
      </c>
      <c r="M379" s="40" t="str">
        <f aca="false">IF($B379="","",$E379*$F379)</f>
        <v/>
      </c>
      <c r="N379" s="40" t="str">
        <f aca="false">IF($L379="청산",$I379*$F379,"")</f>
        <v/>
      </c>
      <c r="O379" s="40" t="str">
        <f aca="false">IF($B379="","",$G379+$J379+$K379)</f>
        <v/>
      </c>
      <c r="P379" s="41" t="str">
        <f aca="false">IF($L379="청산",$N379-$M379-$O379,"")</f>
        <v/>
      </c>
      <c r="Q379" s="42" t="str">
        <f aca="false">IF($L379="청산",IF($M379=0,"",$P379/$M379),"")</f>
        <v/>
      </c>
      <c r="R379" s="43" t="str">
        <f aca="true">IF($B379="","",IF($L379="청산",$H379-$D379,IF($D379="","",TODAY()-$D379)))</f>
        <v/>
      </c>
      <c r="S379" s="44" t="str">
        <f aca="false">IF($L379="청산",DATE(YEAR($H379),MONTH($H379),1),"")</f>
        <v/>
      </c>
      <c r="T379" s="48"/>
      <c r="U379" s="49"/>
      <c r="V379" s="46" t="str">
        <f aca="false">IF($B379="","",IF($L379&lt;&gt;"청산",N(V378),IF($P379&gt;0,N(V378)+1,0)))</f>
        <v/>
      </c>
      <c r="W379" s="46" t="str">
        <f aca="false">IF($B379="","",IF($L379&lt;&gt;"청산",N(W378),IF($P379&lt;0,N(W378)+1,0)))</f>
        <v/>
      </c>
    </row>
    <row r="380" customFormat="false" ht="15" hidden="false" customHeight="false" outlineLevel="0" collapsed="false">
      <c r="A380" s="32" t="str">
        <f aca="false">IF($B380="","",ROW()-5)</f>
        <v/>
      </c>
      <c r="B380" s="48"/>
      <c r="C380" s="49"/>
      <c r="D380" s="50"/>
      <c r="E380" s="51"/>
      <c r="F380" s="52"/>
      <c r="G380" s="53"/>
      <c r="H380" s="50"/>
      <c r="I380" s="51"/>
      <c r="J380" s="53"/>
      <c r="K380" s="53"/>
      <c r="L380" s="39" t="str">
        <f aca="false">IF($B380="","",IF($H380="","보유중","청산"))</f>
        <v/>
      </c>
      <c r="M380" s="40" t="str">
        <f aca="false">IF($B380="","",$E380*$F380)</f>
        <v/>
      </c>
      <c r="N380" s="40" t="str">
        <f aca="false">IF($L380="청산",$I380*$F380,"")</f>
        <v/>
      </c>
      <c r="O380" s="40" t="str">
        <f aca="false">IF($B380="","",$G380+$J380+$K380)</f>
        <v/>
      </c>
      <c r="P380" s="41" t="str">
        <f aca="false">IF($L380="청산",$N380-$M380-$O380,"")</f>
        <v/>
      </c>
      <c r="Q380" s="42" t="str">
        <f aca="false">IF($L380="청산",IF($M380=0,"",$P380/$M380),"")</f>
        <v/>
      </c>
      <c r="R380" s="43" t="str">
        <f aca="true">IF($B380="","",IF($L380="청산",$H380-$D380,IF($D380="","",TODAY()-$D380)))</f>
        <v/>
      </c>
      <c r="S380" s="44" t="str">
        <f aca="false">IF($L380="청산",DATE(YEAR($H380),MONTH($H380),1),"")</f>
        <v/>
      </c>
      <c r="T380" s="48"/>
      <c r="U380" s="49"/>
      <c r="V380" s="46" t="str">
        <f aca="false">IF($B380="","",IF($L380&lt;&gt;"청산",N(V379),IF($P380&gt;0,N(V379)+1,0)))</f>
        <v/>
      </c>
      <c r="W380" s="46" t="str">
        <f aca="false">IF($B380="","",IF($L380&lt;&gt;"청산",N(W379),IF($P380&lt;0,N(W379)+1,0)))</f>
        <v/>
      </c>
    </row>
    <row r="381" customFormat="false" ht="15" hidden="false" customHeight="false" outlineLevel="0" collapsed="false">
      <c r="A381" s="32" t="str">
        <f aca="false">IF($B381="","",ROW()-5)</f>
        <v/>
      </c>
      <c r="B381" s="48"/>
      <c r="C381" s="49"/>
      <c r="D381" s="50"/>
      <c r="E381" s="51"/>
      <c r="F381" s="52"/>
      <c r="G381" s="53"/>
      <c r="H381" s="50"/>
      <c r="I381" s="51"/>
      <c r="J381" s="53"/>
      <c r="K381" s="53"/>
      <c r="L381" s="39" t="str">
        <f aca="false">IF($B381="","",IF($H381="","보유중","청산"))</f>
        <v/>
      </c>
      <c r="M381" s="40" t="str">
        <f aca="false">IF($B381="","",$E381*$F381)</f>
        <v/>
      </c>
      <c r="N381" s="40" t="str">
        <f aca="false">IF($L381="청산",$I381*$F381,"")</f>
        <v/>
      </c>
      <c r="O381" s="40" t="str">
        <f aca="false">IF($B381="","",$G381+$J381+$K381)</f>
        <v/>
      </c>
      <c r="P381" s="41" t="str">
        <f aca="false">IF($L381="청산",$N381-$M381-$O381,"")</f>
        <v/>
      </c>
      <c r="Q381" s="42" t="str">
        <f aca="false">IF($L381="청산",IF($M381=0,"",$P381/$M381),"")</f>
        <v/>
      </c>
      <c r="R381" s="43" t="str">
        <f aca="true">IF($B381="","",IF($L381="청산",$H381-$D381,IF($D381="","",TODAY()-$D381)))</f>
        <v/>
      </c>
      <c r="S381" s="44" t="str">
        <f aca="false">IF($L381="청산",DATE(YEAR($H381),MONTH($H381),1),"")</f>
        <v/>
      </c>
      <c r="T381" s="48"/>
      <c r="U381" s="49"/>
      <c r="V381" s="46" t="str">
        <f aca="false">IF($B381="","",IF($L381&lt;&gt;"청산",N(V380),IF($P381&gt;0,N(V380)+1,0)))</f>
        <v/>
      </c>
      <c r="W381" s="46" t="str">
        <f aca="false">IF($B381="","",IF($L381&lt;&gt;"청산",N(W380),IF($P381&lt;0,N(W380)+1,0)))</f>
        <v/>
      </c>
    </row>
    <row r="382" customFormat="false" ht="15" hidden="false" customHeight="false" outlineLevel="0" collapsed="false">
      <c r="A382" s="32" t="str">
        <f aca="false">IF($B382="","",ROW()-5)</f>
        <v/>
      </c>
      <c r="B382" s="48"/>
      <c r="C382" s="49"/>
      <c r="D382" s="50"/>
      <c r="E382" s="51"/>
      <c r="F382" s="52"/>
      <c r="G382" s="53"/>
      <c r="H382" s="50"/>
      <c r="I382" s="51"/>
      <c r="J382" s="53"/>
      <c r="K382" s="53"/>
      <c r="L382" s="39" t="str">
        <f aca="false">IF($B382="","",IF($H382="","보유중","청산"))</f>
        <v/>
      </c>
      <c r="M382" s="40" t="str">
        <f aca="false">IF($B382="","",$E382*$F382)</f>
        <v/>
      </c>
      <c r="N382" s="40" t="str">
        <f aca="false">IF($L382="청산",$I382*$F382,"")</f>
        <v/>
      </c>
      <c r="O382" s="40" t="str">
        <f aca="false">IF($B382="","",$G382+$J382+$K382)</f>
        <v/>
      </c>
      <c r="P382" s="41" t="str">
        <f aca="false">IF($L382="청산",$N382-$M382-$O382,"")</f>
        <v/>
      </c>
      <c r="Q382" s="42" t="str">
        <f aca="false">IF($L382="청산",IF($M382=0,"",$P382/$M382),"")</f>
        <v/>
      </c>
      <c r="R382" s="43" t="str">
        <f aca="true">IF($B382="","",IF($L382="청산",$H382-$D382,IF($D382="","",TODAY()-$D382)))</f>
        <v/>
      </c>
      <c r="S382" s="44" t="str">
        <f aca="false">IF($L382="청산",DATE(YEAR($H382),MONTH($H382),1),"")</f>
        <v/>
      </c>
      <c r="T382" s="48"/>
      <c r="U382" s="49"/>
      <c r="V382" s="46" t="str">
        <f aca="false">IF($B382="","",IF($L382&lt;&gt;"청산",N(V381),IF($P382&gt;0,N(V381)+1,0)))</f>
        <v/>
      </c>
      <c r="W382" s="46" t="str">
        <f aca="false">IF($B382="","",IF($L382&lt;&gt;"청산",N(W381),IF($P382&lt;0,N(W381)+1,0)))</f>
        <v/>
      </c>
    </row>
    <row r="383" customFormat="false" ht="15" hidden="false" customHeight="false" outlineLevel="0" collapsed="false">
      <c r="A383" s="32" t="str">
        <f aca="false">IF($B383="","",ROW()-5)</f>
        <v/>
      </c>
      <c r="B383" s="48"/>
      <c r="C383" s="49"/>
      <c r="D383" s="50"/>
      <c r="E383" s="51"/>
      <c r="F383" s="52"/>
      <c r="G383" s="53"/>
      <c r="H383" s="50"/>
      <c r="I383" s="51"/>
      <c r="J383" s="53"/>
      <c r="K383" s="53"/>
      <c r="L383" s="39" t="str">
        <f aca="false">IF($B383="","",IF($H383="","보유중","청산"))</f>
        <v/>
      </c>
      <c r="M383" s="40" t="str">
        <f aca="false">IF($B383="","",$E383*$F383)</f>
        <v/>
      </c>
      <c r="N383" s="40" t="str">
        <f aca="false">IF($L383="청산",$I383*$F383,"")</f>
        <v/>
      </c>
      <c r="O383" s="40" t="str">
        <f aca="false">IF($B383="","",$G383+$J383+$K383)</f>
        <v/>
      </c>
      <c r="P383" s="41" t="str">
        <f aca="false">IF($L383="청산",$N383-$M383-$O383,"")</f>
        <v/>
      </c>
      <c r="Q383" s="42" t="str">
        <f aca="false">IF($L383="청산",IF($M383=0,"",$P383/$M383),"")</f>
        <v/>
      </c>
      <c r="R383" s="43" t="str">
        <f aca="true">IF($B383="","",IF($L383="청산",$H383-$D383,IF($D383="","",TODAY()-$D383)))</f>
        <v/>
      </c>
      <c r="S383" s="44" t="str">
        <f aca="false">IF($L383="청산",DATE(YEAR($H383),MONTH($H383),1),"")</f>
        <v/>
      </c>
      <c r="T383" s="48"/>
      <c r="U383" s="49"/>
      <c r="V383" s="46" t="str">
        <f aca="false">IF($B383="","",IF($L383&lt;&gt;"청산",N(V382),IF($P383&gt;0,N(V382)+1,0)))</f>
        <v/>
      </c>
      <c r="W383" s="46" t="str">
        <f aca="false">IF($B383="","",IF($L383&lt;&gt;"청산",N(W382),IF($P383&lt;0,N(W382)+1,0)))</f>
        <v/>
      </c>
    </row>
    <row r="384" customFormat="false" ht="15" hidden="false" customHeight="false" outlineLevel="0" collapsed="false">
      <c r="A384" s="32" t="str">
        <f aca="false">IF($B384="","",ROW()-5)</f>
        <v/>
      </c>
      <c r="B384" s="48"/>
      <c r="C384" s="49"/>
      <c r="D384" s="50"/>
      <c r="E384" s="51"/>
      <c r="F384" s="52"/>
      <c r="G384" s="53"/>
      <c r="H384" s="50"/>
      <c r="I384" s="51"/>
      <c r="J384" s="53"/>
      <c r="K384" s="53"/>
      <c r="L384" s="39" t="str">
        <f aca="false">IF($B384="","",IF($H384="","보유중","청산"))</f>
        <v/>
      </c>
      <c r="M384" s="40" t="str">
        <f aca="false">IF($B384="","",$E384*$F384)</f>
        <v/>
      </c>
      <c r="N384" s="40" t="str">
        <f aca="false">IF($L384="청산",$I384*$F384,"")</f>
        <v/>
      </c>
      <c r="O384" s="40" t="str">
        <f aca="false">IF($B384="","",$G384+$J384+$K384)</f>
        <v/>
      </c>
      <c r="P384" s="41" t="str">
        <f aca="false">IF($L384="청산",$N384-$M384-$O384,"")</f>
        <v/>
      </c>
      <c r="Q384" s="42" t="str">
        <f aca="false">IF($L384="청산",IF($M384=0,"",$P384/$M384),"")</f>
        <v/>
      </c>
      <c r="R384" s="43" t="str">
        <f aca="true">IF($B384="","",IF($L384="청산",$H384-$D384,IF($D384="","",TODAY()-$D384)))</f>
        <v/>
      </c>
      <c r="S384" s="44" t="str">
        <f aca="false">IF($L384="청산",DATE(YEAR($H384),MONTH($H384),1),"")</f>
        <v/>
      </c>
      <c r="T384" s="48"/>
      <c r="U384" s="49"/>
      <c r="V384" s="46" t="str">
        <f aca="false">IF($B384="","",IF($L384&lt;&gt;"청산",N(V383),IF($P384&gt;0,N(V383)+1,0)))</f>
        <v/>
      </c>
      <c r="W384" s="46" t="str">
        <f aca="false">IF($B384="","",IF($L384&lt;&gt;"청산",N(W383),IF($P384&lt;0,N(W383)+1,0)))</f>
        <v/>
      </c>
    </row>
    <row r="385" customFormat="false" ht="15" hidden="false" customHeight="false" outlineLevel="0" collapsed="false">
      <c r="A385" s="32" t="str">
        <f aca="false">IF($B385="","",ROW()-5)</f>
        <v/>
      </c>
      <c r="B385" s="48"/>
      <c r="C385" s="49"/>
      <c r="D385" s="50"/>
      <c r="E385" s="51"/>
      <c r="F385" s="52"/>
      <c r="G385" s="53"/>
      <c r="H385" s="50"/>
      <c r="I385" s="51"/>
      <c r="J385" s="53"/>
      <c r="K385" s="53"/>
      <c r="L385" s="39" t="str">
        <f aca="false">IF($B385="","",IF($H385="","보유중","청산"))</f>
        <v/>
      </c>
      <c r="M385" s="40" t="str">
        <f aca="false">IF($B385="","",$E385*$F385)</f>
        <v/>
      </c>
      <c r="N385" s="40" t="str">
        <f aca="false">IF($L385="청산",$I385*$F385,"")</f>
        <v/>
      </c>
      <c r="O385" s="40" t="str">
        <f aca="false">IF($B385="","",$G385+$J385+$K385)</f>
        <v/>
      </c>
      <c r="P385" s="41" t="str">
        <f aca="false">IF($L385="청산",$N385-$M385-$O385,"")</f>
        <v/>
      </c>
      <c r="Q385" s="42" t="str">
        <f aca="false">IF($L385="청산",IF($M385=0,"",$P385/$M385),"")</f>
        <v/>
      </c>
      <c r="R385" s="43" t="str">
        <f aca="true">IF($B385="","",IF($L385="청산",$H385-$D385,IF($D385="","",TODAY()-$D385)))</f>
        <v/>
      </c>
      <c r="S385" s="44" t="str">
        <f aca="false">IF($L385="청산",DATE(YEAR($H385),MONTH($H385),1),"")</f>
        <v/>
      </c>
      <c r="T385" s="48"/>
      <c r="U385" s="49"/>
      <c r="V385" s="46" t="str">
        <f aca="false">IF($B385="","",IF($L385&lt;&gt;"청산",N(V384),IF($P385&gt;0,N(V384)+1,0)))</f>
        <v/>
      </c>
      <c r="W385" s="46" t="str">
        <f aca="false">IF($B385="","",IF($L385&lt;&gt;"청산",N(W384),IF($P385&lt;0,N(W384)+1,0)))</f>
        <v/>
      </c>
    </row>
    <row r="386" customFormat="false" ht="15" hidden="false" customHeight="false" outlineLevel="0" collapsed="false">
      <c r="A386" s="32" t="str">
        <f aca="false">IF($B386="","",ROW()-5)</f>
        <v/>
      </c>
      <c r="B386" s="48"/>
      <c r="C386" s="49"/>
      <c r="D386" s="50"/>
      <c r="E386" s="51"/>
      <c r="F386" s="52"/>
      <c r="G386" s="53"/>
      <c r="H386" s="50"/>
      <c r="I386" s="51"/>
      <c r="J386" s="53"/>
      <c r="K386" s="53"/>
      <c r="L386" s="39" t="str">
        <f aca="false">IF($B386="","",IF($H386="","보유중","청산"))</f>
        <v/>
      </c>
      <c r="M386" s="40" t="str">
        <f aca="false">IF($B386="","",$E386*$F386)</f>
        <v/>
      </c>
      <c r="N386" s="40" t="str">
        <f aca="false">IF($L386="청산",$I386*$F386,"")</f>
        <v/>
      </c>
      <c r="O386" s="40" t="str">
        <f aca="false">IF($B386="","",$G386+$J386+$K386)</f>
        <v/>
      </c>
      <c r="P386" s="41" t="str">
        <f aca="false">IF($L386="청산",$N386-$M386-$O386,"")</f>
        <v/>
      </c>
      <c r="Q386" s="42" t="str">
        <f aca="false">IF($L386="청산",IF($M386=0,"",$P386/$M386),"")</f>
        <v/>
      </c>
      <c r="R386" s="43" t="str">
        <f aca="true">IF($B386="","",IF($L386="청산",$H386-$D386,IF($D386="","",TODAY()-$D386)))</f>
        <v/>
      </c>
      <c r="S386" s="44" t="str">
        <f aca="false">IF($L386="청산",DATE(YEAR($H386),MONTH($H386),1),"")</f>
        <v/>
      </c>
      <c r="T386" s="48"/>
      <c r="U386" s="49"/>
      <c r="V386" s="46" t="str">
        <f aca="false">IF($B386="","",IF($L386&lt;&gt;"청산",N(V385),IF($P386&gt;0,N(V385)+1,0)))</f>
        <v/>
      </c>
      <c r="W386" s="46" t="str">
        <f aca="false">IF($B386="","",IF($L386&lt;&gt;"청산",N(W385),IF($P386&lt;0,N(W385)+1,0)))</f>
        <v/>
      </c>
    </row>
    <row r="387" customFormat="false" ht="15" hidden="false" customHeight="false" outlineLevel="0" collapsed="false">
      <c r="A387" s="32" t="str">
        <f aca="false">IF($B387="","",ROW()-5)</f>
        <v/>
      </c>
      <c r="B387" s="48"/>
      <c r="C387" s="49"/>
      <c r="D387" s="50"/>
      <c r="E387" s="51"/>
      <c r="F387" s="52"/>
      <c r="G387" s="53"/>
      <c r="H387" s="50"/>
      <c r="I387" s="51"/>
      <c r="J387" s="53"/>
      <c r="K387" s="53"/>
      <c r="L387" s="39" t="str">
        <f aca="false">IF($B387="","",IF($H387="","보유중","청산"))</f>
        <v/>
      </c>
      <c r="M387" s="40" t="str">
        <f aca="false">IF($B387="","",$E387*$F387)</f>
        <v/>
      </c>
      <c r="N387" s="40" t="str">
        <f aca="false">IF($L387="청산",$I387*$F387,"")</f>
        <v/>
      </c>
      <c r="O387" s="40" t="str">
        <f aca="false">IF($B387="","",$G387+$J387+$K387)</f>
        <v/>
      </c>
      <c r="P387" s="41" t="str">
        <f aca="false">IF($L387="청산",$N387-$M387-$O387,"")</f>
        <v/>
      </c>
      <c r="Q387" s="42" t="str">
        <f aca="false">IF($L387="청산",IF($M387=0,"",$P387/$M387),"")</f>
        <v/>
      </c>
      <c r="R387" s="43" t="str">
        <f aca="true">IF($B387="","",IF($L387="청산",$H387-$D387,IF($D387="","",TODAY()-$D387)))</f>
        <v/>
      </c>
      <c r="S387" s="44" t="str">
        <f aca="false">IF($L387="청산",DATE(YEAR($H387),MONTH($H387),1),"")</f>
        <v/>
      </c>
      <c r="T387" s="48"/>
      <c r="U387" s="49"/>
      <c r="V387" s="46" t="str">
        <f aca="false">IF($B387="","",IF($L387&lt;&gt;"청산",N(V386),IF($P387&gt;0,N(V386)+1,0)))</f>
        <v/>
      </c>
      <c r="W387" s="46" t="str">
        <f aca="false">IF($B387="","",IF($L387&lt;&gt;"청산",N(W386),IF($P387&lt;0,N(W386)+1,0)))</f>
        <v/>
      </c>
    </row>
    <row r="388" customFormat="false" ht="15" hidden="false" customHeight="false" outlineLevel="0" collapsed="false">
      <c r="A388" s="32" t="str">
        <f aca="false">IF($B388="","",ROW()-5)</f>
        <v/>
      </c>
      <c r="B388" s="48"/>
      <c r="C388" s="49"/>
      <c r="D388" s="50"/>
      <c r="E388" s="51"/>
      <c r="F388" s="52"/>
      <c r="G388" s="53"/>
      <c r="H388" s="50"/>
      <c r="I388" s="51"/>
      <c r="J388" s="53"/>
      <c r="K388" s="53"/>
      <c r="L388" s="39" t="str">
        <f aca="false">IF($B388="","",IF($H388="","보유중","청산"))</f>
        <v/>
      </c>
      <c r="M388" s="40" t="str">
        <f aca="false">IF($B388="","",$E388*$F388)</f>
        <v/>
      </c>
      <c r="N388" s="40" t="str">
        <f aca="false">IF($L388="청산",$I388*$F388,"")</f>
        <v/>
      </c>
      <c r="O388" s="40" t="str">
        <f aca="false">IF($B388="","",$G388+$J388+$K388)</f>
        <v/>
      </c>
      <c r="P388" s="41" t="str">
        <f aca="false">IF($L388="청산",$N388-$M388-$O388,"")</f>
        <v/>
      </c>
      <c r="Q388" s="42" t="str">
        <f aca="false">IF($L388="청산",IF($M388=0,"",$P388/$M388),"")</f>
        <v/>
      </c>
      <c r="R388" s="43" t="str">
        <f aca="true">IF($B388="","",IF($L388="청산",$H388-$D388,IF($D388="","",TODAY()-$D388)))</f>
        <v/>
      </c>
      <c r="S388" s="44" t="str">
        <f aca="false">IF($L388="청산",DATE(YEAR($H388),MONTH($H388),1),"")</f>
        <v/>
      </c>
      <c r="T388" s="48"/>
      <c r="U388" s="49"/>
      <c r="V388" s="46" t="str">
        <f aca="false">IF($B388="","",IF($L388&lt;&gt;"청산",N(V387),IF($P388&gt;0,N(V387)+1,0)))</f>
        <v/>
      </c>
      <c r="W388" s="46" t="str">
        <f aca="false">IF($B388="","",IF($L388&lt;&gt;"청산",N(W387),IF($P388&lt;0,N(W387)+1,0)))</f>
        <v/>
      </c>
    </row>
    <row r="389" customFormat="false" ht="15" hidden="false" customHeight="false" outlineLevel="0" collapsed="false">
      <c r="A389" s="32" t="str">
        <f aca="false">IF($B389="","",ROW()-5)</f>
        <v/>
      </c>
      <c r="B389" s="48"/>
      <c r="C389" s="49"/>
      <c r="D389" s="50"/>
      <c r="E389" s="51"/>
      <c r="F389" s="52"/>
      <c r="G389" s="53"/>
      <c r="H389" s="50"/>
      <c r="I389" s="51"/>
      <c r="J389" s="53"/>
      <c r="K389" s="53"/>
      <c r="L389" s="39" t="str">
        <f aca="false">IF($B389="","",IF($H389="","보유중","청산"))</f>
        <v/>
      </c>
      <c r="M389" s="40" t="str">
        <f aca="false">IF($B389="","",$E389*$F389)</f>
        <v/>
      </c>
      <c r="N389" s="40" t="str">
        <f aca="false">IF($L389="청산",$I389*$F389,"")</f>
        <v/>
      </c>
      <c r="O389" s="40" t="str">
        <f aca="false">IF($B389="","",$G389+$J389+$K389)</f>
        <v/>
      </c>
      <c r="P389" s="41" t="str">
        <f aca="false">IF($L389="청산",$N389-$M389-$O389,"")</f>
        <v/>
      </c>
      <c r="Q389" s="42" t="str">
        <f aca="false">IF($L389="청산",IF($M389=0,"",$P389/$M389),"")</f>
        <v/>
      </c>
      <c r="R389" s="43" t="str">
        <f aca="true">IF($B389="","",IF($L389="청산",$H389-$D389,IF($D389="","",TODAY()-$D389)))</f>
        <v/>
      </c>
      <c r="S389" s="44" t="str">
        <f aca="false">IF($L389="청산",DATE(YEAR($H389),MONTH($H389),1),"")</f>
        <v/>
      </c>
      <c r="T389" s="48"/>
      <c r="U389" s="49"/>
      <c r="V389" s="46" t="str">
        <f aca="false">IF($B389="","",IF($L389&lt;&gt;"청산",N(V388),IF($P389&gt;0,N(V388)+1,0)))</f>
        <v/>
      </c>
      <c r="W389" s="46" t="str">
        <f aca="false">IF($B389="","",IF($L389&lt;&gt;"청산",N(W388),IF($P389&lt;0,N(W388)+1,0)))</f>
        <v/>
      </c>
    </row>
    <row r="390" customFormat="false" ht="15" hidden="false" customHeight="false" outlineLevel="0" collapsed="false">
      <c r="A390" s="32" t="str">
        <f aca="false">IF($B390="","",ROW()-5)</f>
        <v/>
      </c>
      <c r="B390" s="48"/>
      <c r="C390" s="49"/>
      <c r="D390" s="50"/>
      <c r="E390" s="51"/>
      <c r="F390" s="52"/>
      <c r="G390" s="53"/>
      <c r="H390" s="50"/>
      <c r="I390" s="51"/>
      <c r="J390" s="53"/>
      <c r="K390" s="53"/>
      <c r="L390" s="39" t="str">
        <f aca="false">IF($B390="","",IF($H390="","보유중","청산"))</f>
        <v/>
      </c>
      <c r="M390" s="40" t="str">
        <f aca="false">IF($B390="","",$E390*$F390)</f>
        <v/>
      </c>
      <c r="N390" s="40" t="str">
        <f aca="false">IF($L390="청산",$I390*$F390,"")</f>
        <v/>
      </c>
      <c r="O390" s="40" t="str">
        <f aca="false">IF($B390="","",$G390+$J390+$K390)</f>
        <v/>
      </c>
      <c r="P390" s="41" t="str">
        <f aca="false">IF($L390="청산",$N390-$M390-$O390,"")</f>
        <v/>
      </c>
      <c r="Q390" s="42" t="str">
        <f aca="false">IF($L390="청산",IF($M390=0,"",$P390/$M390),"")</f>
        <v/>
      </c>
      <c r="R390" s="43" t="str">
        <f aca="true">IF($B390="","",IF($L390="청산",$H390-$D390,IF($D390="","",TODAY()-$D390)))</f>
        <v/>
      </c>
      <c r="S390" s="44" t="str">
        <f aca="false">IF($L390="청산",DATE(YEAR($H390),MONTH($H390),1),"")</f>
        <v/>
      </c>
      <c r="T390" s="48"/>
      <c r="U390" s="49"/>
      <c r="V390" s="46" t="str">
        <f aca="false">IF($B390="","",IF($L390&lt;&gt;"청산",N(V389),IF($P390&gt;0,N(V389)+1,0)))</f>
        <v/>
      </c>
      <c r="W390" s="46" t="str">
        <f aca="false">IF($B390="","",IF($L390&lt;&gt;"청산",N(W389),IF($P390&lt;0,N(W389)+1,0)))</f>
        <v/>
      </c>
    </row>
    <row r="391" customFormat="false" ht="15" hidden="false" customHeight="false" outlineLevel="0" collapsed="false">
      <c r="A391" s="32" t="str">
        <f aca="false">IF($B391="","",ROW()-5)</f>
        <v/>
      </c>
      <c r="B391" s="48"/>
      <c r="C391" s="49"/>
      <c r="D391" s="50"/>
      <c r="E391" s="51"/>
      <c r="F391" s="52"/>
      <c r="G391" s="53"/>
      <c r="H391" s="50"/>
      <c r="I391" s="51"/>
      <c r="J391" s="53"/>
      <c r="K391" s="53"/>
      <c r="L391" s="39" t="str">
        <f aca="false">IF($B391="","",IF($H391="","보유중","청산"))</f>
        <v/>
      </c>
      <c r="M391" s="40" t="str">
        <f aca="false">IF($B391="","",$E391*$F391)</f>
        <v/>
      </c>
      <c r="N391" s="40" t="str">
        <f aca="false">IF($L391="청산",$I391*$F391,"")</f>
        <v/>
      </c>
      <c r="O391" s="40" t="str">
        <f aca="false">IF($B391="","",$G391+$J391+$K391)</f>
        <v/>
      </c>
      <c r="P391" s="41" t="str">
        <f aca="false">IF($L391="청산",$N391-$M391-$O391,"")</f>
        <v/>
      </c>
      <c r="Q391" s="42" t="str">
        <f aca="false">IF($L391="청산",IF($M391=0,"",$P391/$M391),"")</f>
        <v/>
      </c>
      <c r="R391" s="43" t="str">
        <f aca="true">IF($B391="","",IF($L391="청산",$H391-$D391,IF($D391="","",TODAY()-$D391)))</f>
        <v/>
      </c>
      <c r="S391" s="44" t="str">
        <f aca="false">IF($L391="청산",DATE(YEAR($H391),MONTH($H391),1),"")</f>
        <v/>
      </c>
      <c r="T391" s="48"/>
      <c r="U391" s="49"/>
      <c r="V391" s="46" t="str">
        <f aca="false">IF($B391="","",IF($L391&lt;&gt;"청산",N(V390),IF($P391&gt;0,N(V390)+1,0)))</f>
        <v/>
      </c>
      <c r="W391" s="46" t="str">
        <f aca="false">IF($B391="","",IF($L391&lt;&gt;"청산",N(W390),IF($P391&lt;0,N(W390)+1,0)))</f>
        <v/>
      </c>
    </row>
    <row r="392" customFormat="false" ht="15" hidden="false" customHeight="false" outlineLevel="0" collapsed="false">
      <c r="A392" s="32" t="str">
        <f aca="false">IF($B392="","",ROW()-5)</f>
        <v/>
      </c>
      <c r="B392" s="48"/>
      <c r="C392" s="49"/>
      <c r="D392" s="50"/>
      <c r="E392" s="51"/>
      <c r="F392" s="52"/>
      <c r="G392" s="53"/>
      <c r="H392" s="50"/>
      <c r="I392" s="51"/>
      <c r="J392" s="53"/>
      <c r="K392" s="53"/>
      <c r="L392" s="39" t="str">
        <f aca="false">IF($B392="","",IF($H392="","보유중","청산"))</f>
        <v/>
      </c>
      <c r="M392" s="40" t="str">
        <f aca="false">IF($B392="","",$E392*$F392)</f>
        <v/>
      </c>
      <c r="N392" s="40" t="str">
        <f aca="false">IF($L392="청산",$I392*$F392,"")</f>
        <v/>
      </c>
      <c r="O392" s="40" t="str">
        <f aca="false">IF($B392="","",$G392+$J392+$K392)</f>
        <v/>
      </c>
      <c r="P392" s="41" t="str">
        <f aca="false">IF($L392="청산",$N392-$M392-$O392,"")</f>
        <v/>
      </c>
      <c r="Q392" s="42" t="str">
        <f aca="false">IF($L392="청산",IF($M392=0,"",$P392/$M392),"")</f>
        <v/>
      </c>
      <c r="R392" s="43" t="str">
        <f aca="true">IF($B392="","",IF($L392="청산",$H392-$D392,IF($D392="","",TODAY()-$D392)))</f>
        <v/>
      </c>
      <c r="S392" s="44" t="str">
        <f aca="false">IF($L392="청산",DATE(YEAR($H392),MONTH($H392),1),"")</f>
        <v/>
      </c>
      <c r="T392" s="48"/>
      <c r="U392" s="49"/>
      <c r="V392" s="46" t="str">
        <f aca="false">IF($B392="","",IF($L392&lt;&gt;"청산",N(V391),IF($P392&gt;0,N(V391)+1,0)))</f>
        <v/>
      </c>
      <c r="W392" s="46" t="str">
        <f aca="false">IF($B392="","",IF($L392&lt;&gt;"청산",N(W391),IF($P392&lt;0,N(W391)+1,0)))</f>
        <v/>
      </c>
    </row>
    <row r="393" customFormat="false" ht="15" hidden="false" customHeight="false" outlineLevel="0" collapsed="false">
      <c r="A393" s="32" t="str">
        <f aca="false">IF($B393="","",ROW()-5)</f>
        <v/>
      </c>
      <c r="B393" s="48"/>
      <c r="C393" s="49"/>
      <c r="D393" s="50"/>
      <c r="E393" s="51"/>
      <c r="F393" s="52"/>
      <c r="G393" s="53"/>
      <c r="H393" s="50"/>
      <c r="I393" s="51"/>
      <c r="J393" s="53"/>
      <c r="K393" s="53"/>
      <c r="L393" s="39" t="str">
        <f aca="false">IF($B393="","",IF($H393="","보유중","청산"))</f>
        <v/>
      </c>
      <c r="M393" s="40" t="str">
        <f aca="false">IF($B393="","",$E393*$F393)</f>
        <v/>
      </c>
      <c r="N393" s="40" t="str">
        <f aca="false">IF($L393="청산",$I393*$F393,"")</f>
        <v/>
      </c>
      <c r="O393" s="40" t="str">
        <f aca="false">IF($B393="","",$G393+$J393+$K393)</f>
        <v/>
      </c>
      <c r="P393" s="41" t="str">
        <f aca="false">IF($L393="청산",$N393-$M393-$O393,"")</f>
        <v/>
      </c>
      <c r="Q393" s="42" t="str">
        <f aca="false">IF($L393="청산",IF($M393=0,"",$P393/$M393),"")</f>
        <v/>
      </c>
      <c r="R393" s="43" t="str">
        <f aca="true">IF($B393="","",IF($L393="청산",$H393-$D393,IF($D393="","",TODAY()-$D393)))</f>
        <v/>
      </c>
      <c r="S393" s="44" t="str">
        <f aca="false">IF($L393="청산",DATE(YEAR($H393),MONTH($H393),1),"")</f>
        <v/>
      </c>
      <c r="T393" s="48"/>
      <c r="U393" s="49"/>
      <c r="V393" s="46" t="str">
        <f aca="false">IF($B393="","",IF($L393&lt;&gt;"청산",N(V392),IF($P393&gt;0,N(V392)+1,0)))</f>
        <v/>
      </c>
      <c r="W393" s="46" t="str">
        <f aca="false">IF($B393="","",IF($L393&lt;&gt;"청산",N(W392),IF($P393&lt;0,N(W392)+1,0)))</f>
        <v/>
      </c>
    </row>
    <row r="394" customFormat="false" ht="15" hidden="false" customHeight="false" outlineLevel="0" collapsed="false">
      <c r="A394" s="32" t="str">
        <f aca="false">IF($B394="","",ROW()-5)</f>
        <v/>
      </c>
      <c r="B394" s="48"/>
      <c r="C394" s="49"/>
      <c r="D394" s="50"/>
      <c r="E394" s="51"/>
      <c r="F394" s="52"/>
      <c r="G394" s="53"/>
      <c r="H394" s="50"/>
      <c r="I394" s="51"/>
      <c r="J394" s="53"/>
      <c r="K394" s="53"/>
      <c r="L394" s="39" t="str">
        <f aca="false">IF($B394="","",IF($H394="","보유중","청산"))</f>
        <v/>
      </c>
      <c r="M394" s="40" t="str">
        <f aca="false">IF($B394="","",$E394*$F394)</f>
        <v/>
      </c>
      <c r="N394" s="40" t="str">
        <f aca="false">IF($L394="청산",$I394*$F394,"")</f>
        <v/>
      </c>
      <c r="O394" s="40" t="str">
        <f aca="false">IF($B394="","",$G394+$J394+$K394)</f>
        <v/>
      </c>
      <c r="P394" s="41" t="str">
        <f aca="false">IF($L394="청산",$N394-$M394-$O394,"")</f>
        <v/>
      </c>
      <c r="Q394" s="42" t="str">
        <f aca="false">IF($L394="청산",IF($M394=0,"",$P394/$M394),"")</f>
        <v/>
      </c>
      <c r="R394" s="43" t="str">
        <f aca="true">IF($B394="","",IF($L394="청산",$H394-$D394,IF($D394="","",TODAY()-$D394)))</f>
        <v/>
      </c>
      <c r="S394" s="44" t="str">
        <f aca="false">IF($L394="청산",DATE(YEAR($H394),MONTH($H394),1),"")</f>
        <v/>
      </c>
      <c r="T394" s="48"/>
      <c r="U394" s="49"/>
      <c r="V394" s="46" t="str">
        <f aca="false">IF($B394="","",IF($L394&lt;&gt;"청산",N(V393),IF($P394&gt;0,N(V393)+1,0)))</f>
        <v/>
      </c>
      <c r="W394" s="46" t="str">
        <f aca="false">IF($B394="","",IF($L394&lt;&gt;"청산",N(W393),IF($P394&lt;0,N(W393)+1,0)))</f>
        <v/>
      </c>
    </row>
    <row r="395" customFormat="false" ht="15" hidden="false" customHeight="false" outlineLevel="0" collapsed="false">
      <c r="A395" s="32" t="str">
        <f aca="false">IF($B395="","",ROW()-5)</f>
        <v/>
      </c>
      <c r="B395" s="48"/>
      <c r="C395" s="49"/>
      <c r="D395" s="50"/>
      <c r="E395" s="51"/>
      <c r="F395" s="52"/>
      <c r="G395" s="53"/>
      <c r="H395" s="50"/>
      <c r="I395" s="51"/>
      <c r="J395" s="53"/>
      <c r="K395" s="53"/>
      <c r="L395" s="39" t="str">
        <f aca="false">IF($B395="","",IF($H395="","보유중","청산"))</f>
        <v/>
      </c>
      <c r="M395" s="40" t="str">
        <f aca="false">IF($B395="","",$E395*$F395)</f>
        <v/>
      </c>
      <c r="N395" s="40" t="str">
        <f aca="false">IF($L395="청산",$I395*$F395,"")</f>
        <v/>
      </c>
      <c r="O395" s="40" t="str">
        <f aca="false">IF($B395="","",$G395+$J395+$K395)</f>
        <v/>
      </c>
      <c r="P395" s="41" t="str">
        <f aca="false">IF($L395="청산",$N395-$M395-$O395,"")</f>
        <v/>
      </c>
      <c r="Q395" s="42" t="str">
        <f aca="false">IF($L395="청산",IF($M395=0,"",$P395/$M395),"")</f>
        <v/>
      </c>
      <c r="R395" s="43" t="str">
        <f aca="true">IF($B395="","",IF($L395="청산",$H395-$D395,IF($D395="","",TODAY()-$D395)))</f>
        <v/>
      </c>
      <c r="S395" s="44" t="str">
        <f aca="false">IF($L395="청산",DATE(YEAR($H395),MONTH($H395),1),"")</f>
        <v/>
      </c>
      <c r="T395" s="48"/>
      <c r="U395" s="49"/>
      <c r="V395" s="46" t="str">
        <f aca="false">IF($B395="","",IF($L395&lt;&gt;"청산",N(V394),IF($P395&gt;0,N(V394)+1,0)))</f>
        <v/>
      </c>
      <c r="W395" s="46" t="str">
        <f aca="false">IF($B395="","",IF($L395&lt;&gt;"청산",N(W394),IF($P395&lt;0,N(W394)+1,0)))</f>
        <v/>
      </c>
    </row>
    <row r="396" customFormat="false" ht="15" hidden="false" customHeight="false" outlineLevel="0" collapsed="false">
      <c r="A396" s="32" t="str">
        <f aca="false">IF($B396="","",ROW()-5)</f>
        <v/>
      </c>
      <c r="B396" s="48"/>
      <c r="C396" s="49"/>
      <c r="D396" s="50"/>
      <c r="E396" s="51"/>
      <c r="F396" s="52"/>
      <c r="G396" s="53"/>
      <c r="H396" s="50"/>
      <c r="I396" s="51"/>
      <c r="J396" s="53"/>
      <c r="K396" s="53"/>
      <c r="L396" s="39" t="str">
        <f aca="false">IF($B396="","",IF($H396="","보유중","청산"))</f>
        <v/>
      </c>
      <c r="M396" s="40" t="str">
        <f aca="false">IF($B396="","",$E396*$F396)</f>
        <v/>
      </c>
      <c r="N396" s="40" t="str">
        <f aca="false">IF($L396="청산",$I396*$F396,"")</f>
        <v/>
      </c>
      <c r="O396" s="40" t="str">
        <f aca="false">IF($B396="","",$G396+$J396+$K396)</f>
        <v/>
      </c>
      <c r="P396" s="41" t="str">
        <f aca="false">IF($L396="청산",$N396-$M396-$O396,"")</f>
        <v/>
      </c>
      <c r="Q396" s="42" t="str">
        <f aca="false">IF($L396="청산",IF($M396=0,"",$P396/$M396),"")</f>
        <v/>
      </c>
      <c r="R396" s="43" t="str">
        <f aca="true">IF($B396="","",IF($L396="청산",$H396-$D396,IF($D396="","",TODAY()-$D396)))</f>
        <v/>
      </c>
      <c r="S396" s="44" t="str">
        <f aca="false">IF($L396="청산",DATE(YEAR($H396),MONTH($H396),1),"")</f>
        <v/>
      </c>
      <c r="T396" s="48"/>
      <c r="U396" s="49"/>
      <c r="V396" s="46" t="str">
        <f aca="false">IF($B396="","",IF($L396&lt;&gt;"청산",N(V395),IF($P396&gt;0,N(V395)+1,0)))</f>
        <v/>
      </c>
      <c r="W396" s="46" t="str">
        <f aca="false">IF($B396="","",IF($L396&lt;&gt;"청산",N(W395),IF($P396&lt;0,N(W395)+1,0)))</f>
        <v/>
      </c>
    </row>
    <row r="397" customFormat="false" ht="15" hidden="false" customHeight="false" outlineLevel="0" collapsed="false">
      <c r="A397" s="32" t="str">
        <f aca="false">IF($B397="","",ROW()-5)</f>
        <v/>
      </c>
      <c r="B397" s="48"/>
      <c r="C397" s="49"/>
      <c r="D397" s="50"/>
      <c r="E397" s="51"/>
      <c r="F397" s="52"/>
      <c r="G397" s="53"/>
      <c r="H397" s="50"/>
      <c r="I397" s="51"/>
      <c r="J397" s="53"/>
      <c r="K397" s="53"/>
      <c r="L397" s="39" t="str">
        <f aca="false">IF($B397="","",IF($H397="","보유중","청산"))</f>
        <v/>
      </c>
      <c r="M397" s="40" t="str">
        <f aca="false">IF($B397="","",$E397*$F397)</f>
        <v/>
      </c>
      <c r="N397" s="40" t="str">
        <f aca="false">IF($L397="청산",$I397*$F397,"")</f>
        <v/>
      </c>
      <c r="O397" s="40" t="str">
        <f aca="false">IF($B397="","",$G397+$J397+$K397)</f>
        <v/>
      </c>
      <c r="P397" s="41" t="str">
        <f aca="false">IF($L397="청산",$N397-$M397-$O397,"")</f>
        <v/>
      </c>
      <c r="Q397" s="42" t="str">
        <f aca="false">IF($L397="청산",IF($M397=0,"",$P397/$M397),"")</f>
        <v/>
      </c>
      <c r="R397" s="43" t="str">
        <f aca="true">IF($B397="","",IF($L397="청산",$H397-$D397,IF($D397="","",TODAY()-$D397)))</f>
        <v/>
      </c>
      <c r="S397" s="44" t="str">
        <f aca="false">IF($L397="청산",DATE(YEAR($H397),MONTH($H397),1),"")</f>
        <v/>
      </c>
      <c r="T397" s="48"/>
      <c r="U397" s="49"/>
      <c r="V397" s="46" t="str">
        <f aca="false">IF($B397="","",IF($L397&lt;&gt;"청산",N(V396),IF($P397&gt;0,N(V396)+1,0)))</f>
        <v/>
      </c>
      <c r="W397" s="46" t="str">
        <f aca="false">IF($B397="","",IF($L397&lt;&gt;"청산",N(W396),IF($P397&lt;0,N(W396)+1,0)))</f>
        <v/>
      </c>
    </row>
    <row r="398" customFormat="false" ht="15" hidden="false" customHeight="false" outlineLevel="0" collapsed="false">
      <c r="A398" s="32" t="str">
        <f aca="false">IF($B398="","",ROW()-5)</f>
        <v/>
      </c>
      <c r="B398" s="48"/>
      <c r="C398" s="49"/>
      <c r="D398" s="50"/>
      <c r="E398" s="51"/>
      <c r="F398" s="52"/>
      <c r="G398" s="53"/>
      <c r="H398" s="50"/>
      <c r="I398" s="51"/>
      <c r="J398" s="53"/>
      <c r="K398" s="53"/>
      <c r="L398" s="39" t="str">
        <f aca="false">IF($B398="","",IF($H398="","보유중","청산"))</f>
        <v/>
      </c>
      <c r="M398" s="40" t="str">
        <f aca="false">IF($B398="","",$E398*$F398)</f>
        <v/>
      </c>
      <c r="N398" s="40" t="str">
        <f aca="false">IF($L398="청산",$I398*$F398,"")</f>
        <v/>
      </c>
      <c r="O398" s="40" t="str">
        <f aca="false">IF($B398="","",$G398+$J398+$K398)</f>
        <v/>
      </c>
      <c r="P398" s="41" t="str">
        <f aca="false">IF($L398="청산",$N398-$M398-$O398,"")</f>
        <v/>
      </c>
      <c r="Q398" s="42" t="str">
        <f aca="false">IF($L398="청산",IF($M398=0,"",$P398/$M398),"")</f>
        <v/>
      </c>
      <c r="R398" s="43" t="str">
        <f aca="true">IF($B398="","",IF($L398="청산",$H398-$D398,IF($D398="","",TODAY()-$D398)))</f>
        <v/>
      </c>
      <c r="S398" s="44" t="str">
        <f aca="false">IF($L398="청산",DATE(YEAR($H398),MONTH($H398),1),"")</f>
        <v/>
      </c>
      <c r="T398" s="48"/>
      <c r="U398" s="49"/>
      <c r="V398" s="46" t="str">
        <f aca="false">IF($B398="","",IF($L398&lt;&gt;"청산",N(V397),IF($P398&gt;0,N(V397)+1,0)))</f>
        <v/>
      </c>
      <c r="W398" s="46" t="str">
        <f aca="false">IF($B398="","",IF($L398&lt;&gt;"청산",N(W397),IF($P398&lt;0,N(W397)+1,0)))</f>
        <v/>
      </c>
    </row>
    <row r="399" customFormat="false" ht="15" hidden="false" customHeight="false" outlineLevel="0" collapsed="false">
      <c r="A399" s="32" t="str">
        <f aca="false">IF($B399="","",ROW()-5)</f>
        <v/>
      </c>
      <c r="B399" s="48"/>
      <c r="C399" s="49"/>
      <c r="D399" s="50"/>
      <c r="E399" s="51"/>
      <c r="F399" s="52"/>
      <c r="G399" s="53"/>
      <c r="H399" s="50"/>
      <c r="I399" s="51"/>
      <c r="J399" s="53"/>
      <c r="K399" s="53"/>
      <c r="L399" s="39" t="str">
        <f aca="false">IF($B399="","",IF($H399="","보유중","청산"))</f>
        <v/>
      </c>
      <c r="M399" s="40" t="str">
        <f aca="false">IF($B399="","",$E399*$F399)</f>
        <v/>
      </c>
      <c r="N399" s="40" t="str">
        <f aca="false">IF($L399="청산",$I399*$F399,"")</f>
        <v/>
      </c>
      <c r="O399" s="40" t="str">
        <f aca="false">IF($B399="","",$G399+$J399+$K399)</f>
        <v/>
      </c>
      <c r="P399" s="41" t="str">
        <f aca="false">IF($L399="청산",$N399-$M399-$O399,"")</f>
        <v/>
      </c>
      <c r="Q399" s="42" t="str">
        <f aca="false">IF($L399="청산",IF($M399=0,"",$P399/$M399),"")</f>
        <v/>
      </c>
      <c r="R399" s="43" t="str">
        <f aca="true">IF($B399="","",IF($L399="청산",$H399-$D399,IF($D399="","",TODAY()-$D399)))</f>
        <v/>
      </c>
      <c r="S399" s="44" t="str">
        <f aca="false">IF($L399="청산",DATE(YEAR($H399),MONTH($H399),1),"")</f>
        <v/>
      </c>
      <c r="T399" s="48"/>
      <c r="U399" s="49"/>
      <c r="V399" s="46" t="str">
        <f aca="false">IF($B399="","",IF($L399&lt;&gt;"청산",N(V398),IF($P399&gt;0,N(V398)+1,0)))</f>
        <v/>
      </c>
      <c r="W399" s="46" t="str">
        <f aca="false">IF($B399="","",IF($L399&lt;&gt;"청산",N(W398),IF($P399&lt;0,N(W398)+1,0)))</f>
        <v/>
      </c>
    </row>
    <row r="400" customFormat="false" ht="15" hidden="false" customHeight="false" outlineLevel="0" collapsed="false">
      <c r="A400" s="32" t="str">
        <f aca="false">IF($B400="","",ROW()-5)</f>
        <v/>
      </c>
      <c r="B400" s="48"/>
      <c r="C400" s="49"/>
      <c r="D400" s="50"/>
      <c r="E400" s="51"/>
      <c r="F400" s="52"/>
      <c r="G400" s="53"/>
      <c r="H400" s="50"/>
      <c r="I400" s="51"/>
      <c r="J400" s="53"/>
      <c r="K400" s="53"/>
      <c r="L400" s="39" t="str">
        <f aca="false">IF($B400="","",IF($H400="","보유중","청산"))</f>
        <v/>
      </c>
      <c r="M400" s="40" t="str">
        <f aca="false">IF($B400="","",$E400*$F400)</f>
        <v/>
      </c>
      <c r="N400" s="40" t="str">
        <f aca="false">IF($L400="청산",$I400*$F400,"")</f>
        <v/>
      </c>
      <c r="O400" s="40" t="str">
        <f aca="false">IF($B400="","",$G400+$J400+$K400)</f>
        <v/>
      </c>
      <c r="P400" s="41" t="str">
        <f aca="false">IF($L400="청산",$N400-$M400-$O400,"")</f>
        <v/>
      </c>
      <c r="Q400" s="42" t="str">
        <f aca="false">IF($L400="청산",IF($M400=0,"",$P400/$M400),"")</f>
        <v/>
      </c>
      <c r="R400" s="43" t="str">
        <f aca="true">IF($B400="","",IF($L400="청산",$H400-$D400,IF($D400="","",TODAY()-$D400)))</f>
        <v/>
      </c>
      <c r="S400" s="44" t="str">
        <f aca="false">IF($L400="청산",DATE(YEAR($H400),MONTH($H400),1),"")</f>
        <v/>
      </c>
      <c r="T400" s="48"/>
      <c r="U400" s="49"/>
      <c r="V400" s="46" t="str">
        <f aca="false">IF($B400="","",IF($L400&lt;&gt;"청산",N(V399),IF($P400&gt;0,N(V399)+1,0)))</f>
        <v/>
      </c>
      <c r="W400" s="46" t="str">
        <f aca="false">IF($B400="","",IF($L400&lt;&gt;"청산",N(W399),IF($P400&lt;0,N(W399)+1,0)))</f>
        <v/>
      </c>
    </row>
    <row r="401" customFormat="false" ht="15" hidden="false" customHeight="false" outlineLevel="0" collapsed="false">
      <c r="A401" s="32" t="str">
        <f aca="false">IF($B401="","",ROW()-5)</f>
        <v/>
      </c>
      <c r="B401" s="48"/>
      <c r="C401" s="49"/>
      <c r="D401" s="50"/>
      <c r="E401" s="51"/>
      <c r="F401" s="52"/>
      <c r="G401" s="53"/>
      <c r="H401" s="50"/>
      <c r="I401" s="51"/>
      <c r="J401" s="53"/>
      <c r="K401" s="53"/>
      <c r="L401" s="39" t="str">
        <f aca="false">IF($B401="","",IF($H401="","보유중","청산"))</f>
        <v/>
      </c>
      <c r="M401" s="40" t="str">
        <f aca="false">IF($B401="","",$E401*$F401)</f>
        <v/>
      </c>
      <c r="N401" s="40" t="str">
        <f aca="false">IF($L401="청산",$I401*$F401,"")</f>
        <v/>
      </c>
      <c r="O401" s="40" t="str">
        <f aca="false">IF($B401="","",$G401+$J401+$K401)</f>
        <v/>
      </c>
      <c r="P401" s="41" t="str">
        <f aca="false">IF($L401="청산",$N401-$M401-$O401,"")</f>
        <v/>
      </c>
      <c r="Q401" s="42" t="str">
        <f aca="false">IF($L401="청산",IF($M401=0,"",$P401/$M401),"")</f>
        <v/>
      </c>
      <c r="R401" s="43" t="str">
        <f aca="true">IF($B401="","",IF($L401="청산",$H401-$D401,IF($D401="","",TODAY()-$D401)))</f>
        <v/>
      </c>
      <c r="S401" s="44" t="str">
        <f aca="false">IF($L401="청산",DATE(YEAR($H401),MONTH($H401),1),"")</f>
        <v/>
      </c>
      <c r="T401" s="48"/>
      <c r="U401" s="49"/>
      <c r="V401" s="46" t="str">
        <f aca="false">IF($B401="","",IF($L401&lt;&gt;"청산",N(V400),IF($P401&gt;0,N(V400)+1,0)))</f>
        <v/>
      </c>
      <c r="W401" s="46" t="str">
        <f aca="false">IF($B401="","",IF($L401&lt;&gt;"청산",N(W400),IF($P401&lt;0,N(W400)+1,0)))</f>
        <v/>
      </c>
    </row>
    <row r="402" customFormat="false" ht="15" hidden="false" customHeight="false" outlineLevel="0" collapsed="false">
      <c r="A402" s="32" t="str">
        <f aca="false">IF($B402="","",ROW()-5)</f>
        <v/>
      </c>
      <c r="B402" s="48"/>
      <c r="C402" s="49"/>
      <c r="D402" s="50"/>
      <c r="E402" s="51"/>
      <c r="F402" s="52"/>
      <c r="G402" s="53"/>
      <c r="H402" s="50"/>
      <c r="I402" s="51"/>
      <c r="J402" s="53"/>
      <c r="K402" s="53"/>
      <c r="L402" s="39" t="str">
        <f aca="false">IF($B402="","",IF($H402="","보유중","청산"))</f>
        <v/>
      </c>
      <c r="M402" s="40" t="str">
        <f aca="false">IF($B402="","",$E402*$F402)</f>
        <v/>
      </c>
      <c r="N402" s="40" t="str">
        <f aca="false">IF($L402="청산",$I402*$F402,"")</f>
        <v/>
      </c>
      <c r="O402" s="40" t="str">
        <f aca="false">IF($B402="","",$G402+$J402+$K402)</f>
        <v/>
      </c>
      <c r="P402" s="41" t="str">
        <f aca="false">IF($L402="청산",$N402-$M402-$O402,"")</f>
        <v/>
      </c>
      <c r="Q402" s="42" t="str">
        <f aca="false">IF($L402="청산",IF($M402=0,"",$P402/$M402),"")</f>
        <v/>
      </c>
      <c r="R402" s="43" t="str">
        <f aca="true">IF($B402="","",IF($L402="청산",$H402-$D402,IF($D402="","",TODAY()-$D402)))</f>
        <v/>
      </c>
      <c r="S402" s="44" t="str">
        <f aca="false">IF($L402="청산",DATE(YEAR($H402),MONTH($H402),1),"")</f>
        <v/>
      </c>
      <c r="T402" s="48"/>
      <c r="U402" s="49"/>
      <c r="V402" s="46" t="str">
        <f aca="false">IF($B402="","",IF($L402&lt;&gt;"청산",N(V401),IF($P402&gt;0,N(V401)+1,0)))</f>
        <v/>
      </c>
      <c r="W402" s="46" t="str">
        <f aca="false">IF($B402="","",IF($L402&lt;&gt;"청산",N(W401),IF($P402&lt;0,N(W401)+1,0)))</f>
        <v/>
      </c>
    </row>
    <row r="403" customFormat="false" ht="15" hidden="false" customHeight="false" outlineLevel="0" collapsed="false">
      <c r="A403" s="32" t="str">
        <f aca="false">IF($B403="","",ROW()-5)</f>
        <v/>
      </c>
      <c r="B403" s="48"/>
      <c r="C403" s="49"/>
      <c r="D403" s="50"/>
      <c r="E403" s="51"/>
      <c r="F403" s="52"/>
      <c r="G403" s="53"/>
      <c r="H403" s="50"/>
      <c r="I403" s="51"/>
      <c r="J403" s="53"/>
      <c r="K403" s="53"/>
      <c r="L403" s="39" t="str">
        <f aca="false">IF($B403="","",IF($H403="","보유중","청산"))</f>
        <v/>
      </c>
      <c r="M403" s="40" t="str">
        <f aca="false">IF($B403="","",$E403*$F403)</f>
        <v/>
      </c>
      <c r="N403" s="40" t="str">
        <f aca="false">IF($L403="청산",$I403*$F403,"")</f>
        <v/>
      </c>
      <c r="O403" s="40" t="str">
        <f aca="false">IF($B403="","",$G403+$J403+$K403)</f>
        <v/>
      </c>
      <c r="P403" s="41" t="str">
        <f aca="false">IF($L403="청산",$N403-$M403-$O403,"")</f>
        <v/>
      </c>
      <c r="Q403" s="42" t="str">
        <f aca="false">IF($L403="청산",IF($M403=0,"",$P403/$M403),"")</f>
        <v/>
      </c>
      <c r="R403" s="43" t="str">
        <f aca="true">IF($B403="","",IF($L403="청산",$H403-$D403,IF($D403="","",TODAY()-$D403)))</f>
        <v/>
      </c>
      <c r="S403" s="44" t="str">
        <f aca="false">IF($L403="청산",DATE(YEAR($H403),MONTH($H403),1),"")</f>
        <v/>
      </c>
      <c r="T403" s="48"/>
      <c r="U403" s="49"/>
      <c r="V403" s="46" t="str">
        <f aca="false">IF($B403="","",IF($L403&lt;&gt;"청산",N(V402),IF($P403&gt;0,N(V402)+1,0)))</f>
        <v/>
      </c>
      <c r="W403" s="46" t="str">
        <f aca="false">IF($B403="","",IF($L403&lt;&gt;"청산",N(W402),IF($P403&lt;0,N(W402)+1,0)))</f>
        <v/>
      </c>
    </row>
    <row r="404" customFormat="false" ht="15" hidden="false" customHeight="false" outlineLevel="0" collapsed="false">
      <c r="A404" s="32" t="str">
        <f aca="false">IF($B404="","",ROW()-5)</f>
        <v/>
      </c>
      <c r="B404" s="48"/>
      <c r="C404" s="49"/>
      <c r="D404" s="50"/>
      <c r="E404" s="51"/>
      <c r="F404" s="52"/>
      <c r="G404" s="53"/>
      <c r="H404" s="50"/>
      <c r="I404" s="51"/>
      <c r="J404" s="53"/>
      <c r="K404" s="53"/>
      <c r="L404" s="39" t="str">
        <f aca="false">IF($B404="","",IF($H404="","보유중","청산"))</f>
        <v/>
      </c>
      <c r="M404" s="40" t="str">
        <f aca="false">IF($B404="","",$E404*$F404)</f>
        <v/>
      </c>
      <c r="N404" s="40" t="str">
        <f aca="false">IF($L404="청산",$I404*$F404,"")</f>
        <v/>
      </c>
      <c r="O404" s="40" t="str">
        <f aca="false">IF($B404="","",$G404+$J404+$K404)</f>
        <v/>
      </c>
      <c r="P404" s="41" t="str">
        <f aca="false">IF($L404="청산",$N404-$M404-$O404,"")</f>
        <v/>
      </c>
      <c r="Q404" s="42" t="str">
        <f aca="false">IF($L404="청산",IF($M404=0,"",$P404/$M404),"")</f>
        <v/>
      </c>
      <c r="R404" s="43" t="str">
        <f aca="true">IF($B404="","",IF($L404="청산",$H404-$D404,IF($D404="","",TODAY()-$D404)))</f>
        <v/>
      </c>
      <c r="S404" s="44" t="str">
        <f aca="false">IF($L404="청산",DATE(YEAR($H404),MONTH($H404),1),"")</f>
        <v/>
      </c>
      <c r="T404" s="48"/>
      <c r="U404" s="49"/>
      <c r="V404" s="46" t="str">
        <f aca="false">IF($B404="","",IF($L404&lt;&gt;"청산",N(V403),IF($P404&gt;0,N(V403)+1,0)))</f>
        <v/>
      </c>
      <c r="W404" s="46" t="str">
        <f aca="false">IF($B404="","",IF($L404&lt;&gt;"청산",N(W403),IF($P404&lt;0,N(W403)+1,0)))</f>
        <v/>
      </c>
    </row>
    <row r="405" customFormat="false" ht="15" hidden="false" customHeight="false" outlineLevel="0" collapsed="false">
      <c r="A405" s="32" t="str">
        <f aca="false">IF($B405="","",ROW()-5)</f>
        <v/>
      </c>
      <c r="B405" s="48"/>
      <c r="C405" s="49"/>
      <c r="D405" s="50"/>
      <c r="E405" s="51"/>
      <c r="F405" s="52"/>
      <c r="G405" s="53"/>
      <c r="H405" s="50"/>
      <c r="I405" s="51"/>
      <c r="J405" s="53"/>
      <c r="K405" s="53"/>
      <c r="L405" s="39" t="str">
        <f aca="false">IF($B405="","",IF($H405="","보유중","청산"))</f>
        <v/>
      </c>
      <c r="M405" s="40" t="str">
        <f aca="false">IF($B405="","",$E405*$F405)</f>
        <v/>
      </c>
      <c r="N405" s="40" t="str">
        <f aca="false">IF($L405="청산",$I405*$F405,"")</f>
        <v/>
      </c>
      <c r="O405" s="40" t="str">
        <f aca="false">IF($B405="","",$G405+$J405+$K405)</f>
        <v/>
      </c>
      <c r="P405" s="41" t="str">
        <f aca="false">IF($L405="청산",$N405-$M405-$O405,"")</f>
        <v/>
      </c>
      <c r="Q405" s="42" t="str">
        <f aca="false">IF($L405="청산",IF($M405=0,"",$P405/$M405),"")</f>
        <v/>
      </c>
      <c r="R405" s="43" t="str">
        <f aca="true">IF($B405="","",IF($L405="청산",$H405-$D405,IF($D405="","",TODAY()-$D405)))</f>
        <v/>
      </c>
      <c r="S405" s="44" t="str">
        <f aca="false">IF($L405="청산",DATE(YEAR($H405),MONTH($H405),1),"")</f>
        <v/>
      </c>
      <c r="T405" s="48"/>
      <c r="U405" s="49"/>
      <c r="V405" s="46" t="str">
        <f aca="false">IF($B405="","",IF($L405&lt;&gt;"청산",N(V404),IF($P405&gt;0,N(V404)+1,0)))</f>
        <v/>
      </c>
      <c r="W405" s="46" t="str">
        <f aca="false">IF($B405="","",IF($L405&lt;&gt;"청산",N(W404),IF($P405&lt;0,N(W404)+1,0)))</f>
        <v/>
      </c>
    </row>
    <row r="406" customFormat="false" ht="15" hidden="false" customHeight="false" outlineLevel="0" collapsed="false">
      <c r="A406" s="32" t="str">
        <f aca="false">IF($B406="","",ROW()-5)</f>
        <v/>
      </c>
      <c r="B406" s="48"/>
      <c r="C406" s="49"/>
      <c r="D406" s="50"/>
      <c r="E406" s="51"/>
      <c r="F406" s="52"/>
      <c r="G406" s="53"/>
      <c r="H406" s="50"/>
      <c r="I406" s="51"/>
      <c r="J406" s="53"/>
      <c r="K406" s="53"/>
      <c r="L406" s="39" t="str">
        <f aca="false">IF($B406="","",IF($H406="","보유중","청산"))</f>
        <v/>
      </c>
      <c r="M406" s="40" t="str">
        <f aca="false">IF($B406="","",$E406*$F406)</f>
        <v/>
      </c>
      <c r="N406" s="40" t="str">
        <f aca="false">IF($L406="청산",$I406*$F406,"")</f>
        <v/>
      </c>
      <c r="O406" s="40" t="str">
        <f aca="false">IF($B406="","",$G406+$J406+$K406)</f>
        <v/>
      </c>
      <c r="P406" s="41" t="str">
        <f aca="false">IF($L406="청산",$N406-$M406-$O406,"")</f>
        <v/>
      </c>
      <c r="Q406" s="42" t="str">
        <f aca="false">IF($L406="청산",IF($M406=0,"",$P406/$M406),"")</f>
        <v/>
      </c>
      <c r="R406" s="43" t="str">
        <f aca="true">IF($B406="","",IF($L406="청산",$H406-$D406,IF($D406="","",TODAY()-$D406)))</f>
        <v/>
      </c>
      <c r="S406" s="44" t="str">
        <f aca="false">IF($L406="청산",DATE(YEAR($H406),MONTH($H406),1),"")</f>
        <v/>
      </c>
      <c r="T406" s="48"/>
      <c r="U406" s="49"/>
      <c r="V406" s="46" t="str">
        <f aca="false">IF($B406="","",IF($L406&lt;&gt;"청산",N(V405),IF($P406&gt;0,N(V405)+1,0)))</f>
        <v/>
      </c>
      <c r="W406" s="46" t="str">
        <f aca="false">IF($B406="","",IF($L406&lt;&gt;"청산",N(W405),IF($P406&lt;0,N(W405)+1,0)))</f>
        <v/>
      </c>
    </row>
    <row r="407" customFormat="false" ht="15" hidden="false" customHeight="false" outlineLevel="0" collapsed="false">
      <c r="A407" s="32" t="str">
        <f aca="false">IF($B407="","",ROW()-5)</f>
        <v/>
      </c>
      <c r="B407" s="48"/>
      <c r="C407" s="49"/>
      <c r="D407" s="50"/>
      <c r="E407" s="51"/>
      <c r="F407" s="52"/>
      <c r="G407" s="53"/>
      <c r="H407" s="50"/>
      <c r="I407" s="51"/>
      <c r="J407" s="53"/>
      <c r="K407" s="53"/>
      <c r="L407" s="39" t="str">
        <f aca="false">IF($B407="","",IF($H407="","보유중","청산"))</f>
        <v/>
      </c>
      <c r="M407" s="40" t="str">
        <f aca="false">IF($B407="","",$E407*$F407)</f>
        <v/>
      </c>
      <c r="N407" s="40" t="str">
        <f aca="false">IF($L407="청산",$I407*$F407,"")</f>
        <v/>
      </c>
      <c r="O407" s="40" t="str">
        <f aca="false">IF($B407="","",$G407+$J407+$K407)</f>
        <v/>
      </c>
      <c r="P407" s="41" t="str">
        <f aca="false">IF($L407="청산",$N407-$M407-$O407,"")</f>
        <v/>
      </c>
      <c r="Q407" s="42" t="str">
        <f aca="false">IF($L407="청산",IF($M407=0,"",$P407/$M407),"")</f>
        <v/>
      </c>
      <c r="R407" s="43" t="str">
        <f aca="true">IF($B407="","",IF($L407="청산",$H407-$D407,IF($D407="","",TODAY()-$D407)))</f>
        <v/>
      </c>
      <c r="S407" s="44" t="str">
        <f aca="false">IF($L407="청산",DATE(YEAR($H407),MONTH($H407),1),"")</f>
        <v/>
      </c>
      <c r="T407" s="48"/>
      <c r="U407" s="49"/>
      <c r="V407" s="46" t="str">
        <f aca="false">IF($B407="","",IF($L407&lt;&gt;"청산",N(V406),IF($P407&gt;0,N(V406)+1,0)))</f>
        <v/>
      </c>
      <c r="W407" s="46" t="str">
        <f aca="false">IF($B407="","",IF($L407&lt;&gt;"청산",N(W406),IF($P407&lt;0,N(W406)+1,0)))</f>
        <v/>
      </c>
    </row>
    <row r="408" customFormat="false" ht="15" hidden="false" customHeight="false" outlineLevel="0" collapsed="false">
      <c r="A408" s="32" t="str">
        <f aca="false">IF($B408="","",ROW()-5)</f>
        <v/>
      </c>
      <c r="B408" s="48"/>
      <c r="C408" s="49"/>
      <c r="D408" s="50"/>
      <c r="E408" s="51"/>
      <c r="F408" s="52"/>
      <c r="G408" s="53"/>
      <c r="H408" s="50"/>
      <c r="I408" s="51"/>
      <c r="J408" s="53"/>
      <c r="K408" s="53"/>
      <c r="L408" s="39" t="str">
        <f aca="false">IF($B408="","",IF($H408="","보유중","청산"))</f>
        <v/>
      </c>
      <c r="M408" s="40" t="str">
        <f aca="false">IF($B408="","",$E408*$F408)</f>
        <v/>
      </c>
      <c r="N408" s="40" t="str">
        <f aca="false">IF($L408="청산",$I408*$F408,"")</f>
        <v/>
      </c>
      <c r="O408" s="40" t="str">
        <f aca="false">IF($B408="","",$G408+$J408+$K408)</f>
        <v/>
      </c>
      <c r="P408" s="41" t="str">
        <f aca="false">IF($L408="청산",$N408-$M408-$O408,"")</f>
        <v/>
      </c>
      <c r="Q408" s="42" t="str">
        <f aca="false">IF($L408="청산",IF($M408=0,"",$P408/$M408),"")</f>
        <v/>
      </c>
      <c r="R408" s="43" t="str">
        <f aca="true">IF($B408="","",IF($L408="청산",$H408-$D408,IF($D408="","",TODAY()-$D408)))</f>
        <v/>
      </c>
      <c r="S408" s="44" t="str">
        <f aca="false">IF($L408="청산",DATE(YEAR($H408),MONTH($H408),1),"")</f>
        <v/>
      </c>
      <c r="T408" s="48"/>
      <c r="U408" s="49"/>
      <c r="V408" s="46" t="str">
        <f aca="false">IF($B408="","",IF($L408&lt;&gt;"청산",N(V407),IF($P408&gt;0,N(V407)+1,0)))</f>
        <v/>
      </c>
      <c r="W408" s="46" t="str">
        <f aca="false">IF($B408="","",IF($L408&lt;&gt;"청산",N(W407),IF($P408&lt;0,N(W407)+1,0)))</f>
        <v/>
      </c>
    </row>
    <row r="409" customFormat="false" ht="15" hidden="false" customHeight="false" outlineLevel="0" collapsed="false">
      <c r="A409" s="32" t="str">
        <f aca="false">IF($B409="","",ROW()-5)</f>
        <v/>
      </c>
      <c r="B409" s="48"/>
      <c r="C409" s="49"/>
      <c r="D409" s="50"/>
      <c r="E409" s="51"/>
      <c r="F409" s="52"/>
      <c r="G409" s="53"/>
      <c r="H409" s="50"/>
      <c r="I409" s="51"/>
      <c r="J409" s="53"/>
      <c r="K409" s="53"/>
      <c r="L409" s="39" t="str">
        <f aca="false">IF($B409="","",IF($H409="","보유중","청산"))</f>
        <v/>
      </c>
      <c r="M409" s="40" t="str">
        <f aca="false">IF($B409="","",$E409*$F409)</f>
        <v/>
      </c>
      <c r="N409" s="40" t="str">
        <f aca="false">IF($L409="청산",$I409*$F409,"")</f>
        <v/>
      </c>
      <c r="O409" s="40" t="str">
        <f aca="false">IF($B409="","",$G409+$J409+$K409)</f>
        <v/>
      </c>
      <c r="P409" s="41" t="str">
        <f aca="false">IF($L409="청산",$N409-$M409-$O409,"")</f>
        <v/>
      </c>
      <c r="Q409" s="42" t="str">
        <f aca="false">IF($L409="청산",IF($M409=0,"",$P409/$M409),"")</f>
        <v/>
      </c>
      <c r="R409" s="43" t="str">
        <f aca="true">IF($B409="","",IF($L409="청산",$H409-$D409,IF($D409="","",TODAY()-$D409)))</f>
        <v/>
      </c>
      <c r="S409" s="44" t="str">
        <f aca="false">IF($L409="청산",DATE(YEAR($H409),MONTH($H409),1),"")</f>
        <v/>
      </c>
      <c r="T409" s="48"/>
      <c r="U409" s="49"/>
      <c r="V409" s="46" t="str">
        <f aca="false">IF($B409="","",IF($L409&lt;&gt;"청산",N(V408),IF($P409&gt;0,N(V408)+1,0)))</f>
        <v/>
      </c>
      <c r="W409" s="46" t="str">
        <f aca="false">IF($B409="","",IF($L409&lt;&gt;"청산",N(W408),IF($P409&lt;0,N(W408)+1,0)))</f>
        <v/>
      </c>
    </row>
    <row r="410" customFormat="false" ht="15" hidden="false" customHeight="false" outlineLevel="0" collapsed="false">
      <c r="A410" s="32" t="str">
        <f aca="false">IF($B410="","",ROW()-5)</f>
        <v/>
      </c>
      <c r="B410" s="48"/>
      <c r="C410" s="49"/>
      <c r="D410" s="50"/>
      <c r="E410" s="51"/>
      <c r="F410" s="52"/>
      <c r="G410" s="53"/>
      <c r="H410" s="50"/>
      <c r="I410" s="51"/>
      <c r="J410" s="53"/>
      <c r="K410" s="53"/>
      <c r="L410" s="39" t="str">
        <f aca="false">IF($B410="","",IF($H410="","보유중","청산"))</f>
        <v/>
      </c>
      <c r="M410" s="40" t="str">
        <f aca="false">IF($B410="","",$E410*$F410)</f>
        <v/>
      </c>
      <c r="N410" s="40" t="str">
        <f aca="false">IF($L410="청산",$I410*$F410,"")</f>
        <v/>
      </c>
      <c r="O410" s="40" t="str">
        <f aca="false">IF($B410="","",$G410+$J410+$K410)</f>
        <v/>
      </c>
      <c r="P410" s="41" t="str">
        <f aca="false">IF($L410="청산",$N410-$M410-$O410,"")</f>
        <v/>
      </c>
      <c r="Q410" s="42" t="str">
        <f aca="false">IF($L410="청산",IF($M410=0,"",$P410/$M410),"")</f>
        <v/>
      </c>
      <c r="R410" s="43" t="str">
        <f aca="true">IF($B410="","",IF($L410="청산",$H410-$D410,IF($D410="","",TODAY()-$D410)))</f>
        <v/>
      </c>
      <c r="S410" s="44" t="str">
        <f aca="false">IF($L410="청산",DATE(YEAR($H410),MONTH($H410),1),"")</f>
        <v/>
      </c>
      <c r="T410" s="48"/>
      <c r="U410" s="49"/>
      <c r="V410" s="46" t="str">
        <f aca="false">IF($B410="","",IF($L410&lt;&gt;"청산",N(V409),IF($P410&gt;0,N(V409)+1,0)))</f>
        <v/>
      </c>
      <c r="W410" s="46" t="str">
        <f aca="false">IF($B410="","",IF($L410&lt;&gt;"청산",N(W409),IF($P410&lt;0,N(W409)+1,0)))</f>
        <v/>
      </c>
    </row>
    <row r="411" customFormat="false" ht="15" hidden="false" customHeight="false" outlineLevel="0" collapsed="false">
      <c r="A411" s="32" t="str">
        <f aca="false">IF($B411="","",ROW()-5)</f>
        <v/>
      </c>
      <c r="B411" s="48"/>
      <c r="C411" s="49"/>
      <c r="D411" s="50"/>
      <c r="E411" s="51"/>
      <c r="F411" s="52"/>
      <c r="G411" s="53"/>
      <c r="H411" s="50"/>
      <c r="I411" s="51"/>
      <c r="J411" s="53"/>
      <c r="K411" s="53"/>
      <c r="L411" s="39" t="str">
        <f aca="false">IF($B411="","",IF($H411="","보유중","청산"))</f>
        <v/>
      </c>
      <c r="M411" s="40" t="str">
        <f aca="false">IF($B411="","",$E411*$F411)</f>
        <v/>
      </c>
      <c r="N411" s="40" t="str">
        <f aca="false">IF($L411="청산",$I411*$F411,"")</f>
        <v/>
      </c>
      <c r="O411" s="40" t="str">
        <f aca="false">IF($B411="","",$G411+$J411+$K411)</f>
        <v/>
      </c>
      <c r="P411" s="41" t="str">
        <f aca="false">IF($L411="청산",$N411-$M411-$O411,"")</f>
        <v/>
      </c>
      <c r="Q411" s="42" t="str">
        <f aca="false">IF($L411="청산",IF($M411=0,"",$P411/$M411),"")</f>
        <v/>
      </c>
      <c r="R411" s="43" t="str">
        <f aca="true">IF($B411="","",IF($L411="청산",$H411-$D411,IF($D411="","",TODAY()-$D411)))</f>
        <v/>
      </c>
      <c r="S411" s="44" t="str">
        <f aca="false">IF($L411="청산",DATE(YEAR($H411),MONTH($H411),1),"")</f>
        <v/>
      </c>
      <c r="T411" s="48"/>
      <c r="U411" s="49"/>
      <c r="V411" s="46" t="str">
        <f aca="false">IF($B411="","",IF($L411&lt;&gt;"청산",N(V410),IF($P411&gt;0,N(V410)+1,0)))</f>
        <v/>
      </c>
      <c r="W411" s="46" t="str">
        <f aca="false">IF($B411="","",IF($L411&lt;&gt;"청산",N(W410),IF($P411&lt;0,N(W410)+1,0)))</f>
        <v/>
      </c>
    </row>
    <row r="412" customFormat="false" ht="15" hidden="false" customHeight="false" outlineLevel="0" collapsed="false">
      <c r="A412" s="32" t="str">
        <f aca="false">IF($B412="","",ROW()-5)</f>
        <v/>
      </c>
      <c r="B412" s="48"/>
      <c r="C412" s="49"/>
      <c r="D412" s="50"/>
      <c r="E412" s="51"/>
      <c r="F412" s="52"/>
      <c r="G412" s="53"/>
      <c r="H412" s="50"/>
      <c r="I412" s="51"/>
      <c r="J412" s="53"/>
      <c r="K412" s="53"/>
      <c r="L412" s="39" t="str">
        <f aca="false">IF($B412="","",IF($H412="","보유중","청산"))</f>
        <v/>
      </c>
      <c r="M412" s="40" t="str">
        <f aca="false">IF($B412="","",$E412*$F412)</f>
        <v/>
      </c>
      <c r="N412" s="40" t="str">
        <f aca="false">IF($L412="청산",$I412*$F412,"")</f>
        <v/>
      </c>
      <c r="O412" s="40" t="str">
        <f aca="false">IF($B412="","",$G412+$J412+$K412)</f>
        <v/>
      </c>
      <c r="P412" s="41" t="str">
        <f aca="false">IF($L412="청산",$N412-$M412-$O412,"")</f>
        <v/>
      </c>
      <c r="Q412" s="42" t="str">
        <f aca="false">IF($L412="청산",IF($M412=0,"",$P412/$M412),"")</f>
        <v/>
      </c>
      <c r="R412" s="43" t="str">
        <f aca="true">IF($B412="","",IF($L412="청산",$H412-$D412,IF($D412="","",TODAY()-$D412)))</f>
        <v/>
      </c>
      <c r="S412" s="44" t="str">
        <f aca="false">IF($L412="청산",DATE(YEAR($H412),MONTH($H412),1),"")</f>
        <v/>
      </c>
      <c r="T412" s="48"/>
      <c r="U412" s="49"/>
      <c r="V412" s="46" t="str">
        <f aca="false">IF($B412="","",IF($L412&lt;&gt;"청산",N(V411),IF($P412&gt;0,N(V411)+1,0)))</f>
        <v/>
      </c>
      <c r="W412" s="46" t="str">
        <f aca="false">IF($B412="","",IF($L412&lt;&gt;"청산",N(W411),IF($P412&lt;0,N(W411)+1,0)))</f>
        <v/>
      </c>
    </row>
    <row r="413" customFormat="false" ht="15" hidden="false" customHeight="false" outlineLevel="0" collapsed="false">
      <c r="A413" s="32" t="str">
        <f aca="false">IF($B413="","",ROW()-5)</f>
        <v/>
      </c>
      <c r="B413" s="48"/>
      <c r="C413" s="49"/>
      <c r="D413" s="50"/>
      <c r="E413" s="51"/>
      <c r="F413" s="52"/>
      <c r="G413" s="53"/>
      <c r="H413" s="50"/>
      <c r="I413" s="51"/>
      <c r="J413" s="53"/>
      <c r="K413" s="53"/>
      <c r="L413" s="39" t="str">
        <f aca="false">IF($B413="","",IF($H413="","보유중","청산"))</f>
        <v/>
      </c>
      <c r="M413" s="40" t="str">
        <f aca="false">IF($B413="","",$E413*$F413)</f>
        <v/>
      </c>
      <c r="N413" s="40" t="str">
        <f aca="false">IF($L413="청산",$I413*$F413,"")</f>
        <v/>
      </c>
      <c r="O413" s="40" t="str">
        <f aca="false">IF($B413="","",$G413+$J413+$K413)</f>
        <v/>
      </c>
      <c r="P413" s="41" t="str">
        <f aca="false">IF($L413="청산",$N413-$M413-$O413,"")</f>
        <v/>
      </c>
      <c r="Q413" s="42" t="str">
        <f aca="false">IF($L413="청산",IF($M413=0,"",$P413/$M413),"")</f>
        <v/>
      </c>
      <c r="R413" s="43" t="str">
        <f aca="true">IF($B413="","",IF($L413="청산",$H413-$D413,IF($D413="","",TODAY()-$D413)))</f>
        <v/>
      </c>
      <c r="S413" s="44" t="str">
        <f aca="false">IF($L413="청산",DATE(YEAR($H413),MONTH($H413),1),"")</f>
        <v/>
      </c>
      <c r="T413" s="48"/>
      <c r="U413" s="49"/>
      <c r="V413" s="46" t="str">
        <f aca="false">IF($B413="","",IF($L413&lt;&gt;"청산",N(V412),IF($P413&gt;0,N(V412)+1,0)))</f>
        <v/>
      </c>
      <c r="W413" s="46" t="str">
        <f aca="false">IF($B413="","",IF($L413&lt;&gt;"청산",N(W412),IF($P413&lt;0,N(W412)+1,0)))</f>
        <v/>
      </c>
    </row>
    <row r="414" customFormat="false" ht="15" hidden="false" customHeight="false" outlineLevel="0" collapsed="false">
      <c r="A414" s="32" t="str">
        <f aca="false">IF($B414="","",ROW()-5)</f>
        <v/>
      </c>
      <c r="B414" s="48"/>
      <c r="C414" s="49"/>
      <c r="D414" s="50"/>
      <c r="E414" s="51"/>
      <c r="F414" s="52"/>
      <c r="G414" s="53"/>
      <c r="H414" s="50"/>
      <c r="I414" s="51"/>
      <c r="J414" s="53"/>
      <c r="K414" s="53"/>
      <c r="L414" s="39" t="str">
        <f aca="false">IF($B414="","",IF($H414="","보유중","청산"))</f>
        <v/>
      </c>
      <c r="M414" s="40" t="str">
        <f aca="false">IF($B414="","",$E414*$F414)</f>
        <v/>
      </c>
      <c r="N414" s="40" t="str">
        <f aca="false">IF($L414="청산",$I414*$F414,"")</f>
        <v/>
      </c>
      <c r="O414" s="40" t="str">
        <f aca="false">IF($B414="","",$G414+$J414+$K414)</f>
        <v/>
      </c>
      <c r="P414" s="41" t="str">
        <f aca="false">IF($L414="청산",$N414-$M414-$O414,"")</f>
        <v/>
      </c>
      <c r="Q414" s="42" t="str">
        <f aca="false">IF($L414="청산",IF($M414=0,"",$P414/$M414),"")</f>
        <v/>
      </c>
      <c r="R414" s="43" t="str">
        <f aca="true">IF($B414="","",IF($L414="청산",$H414-$D414,IF($D414="","",TODAY()-$D414)))</f>
        <v/>
      </c>
      <c r="S414" s="44" t="str">
        <f aca="false">IF($L414="청산",DATE(YEAR($H414),MONTH($H414),1),"")</f>
        <v/>
      </c>
      <c r="T414" s="48"/>
      <c r="U414" s="49"/>
      <c r="V414" s="46" t="str">
        <f aca="false">IF($B414="","",IF($L414&lt;&gt;"청산",N(V413),IF($P414&gt;0,N(V413)+1,0)))</f>
        <v/>
      </c>
      <c r="W414" s="46" t="str">
        <f aca="false">IF($B414="","",IF($L414&lt;&gt;"청산",N(W413),IF($P414&lt;0,N(W413)+1,0)))</f>
        <v/>
      </c>
    </row>
    <row r="415" customFormat="false" ht="15" hidden="false" customHeight="false" outlineLevel="0" collapsed="false">
      <c r="A415" s="32" t="str">
        <f aca="false">IF($B415="","",ROW()-5)</f>
        <v/>
      </c>
      <c r="B415" s="48"/>
      <c r="C415" s="49"/>
      <c r="D415" s="50"/>
      <c r="E415" s="51"/>
      <c r="F415" s="52"/>
      <c r="G415" s="53"/>
      <c r="H415" s="50"/>
      <c r="I415" s="51"/>
      <c r="J415" s="53"/>
      <c r="K415" s="53"/>
      <c r="L415" s="39" t="str">
        <f aca="false">IF($B415="","",IF($H415="","보유중","청산"))</f>
        <v/>
      </c>
      <c r="M415" s="40" t="str">
        <f aca="false">IF($B415="","",$E415*$F415)</f>
        <v/>
      </c>
      <c r="N415" s="40" t="str">
        <f aca="false">IF($L415="청산",$I415*$F415,"")</f>
        <v/>
      </c>
      <c r="O415" s="40" t="str">
        <f aca="false">IF($B415="","",$G415+$J415+$K415)</f>
        <v/>
      </c>
      <c r="P415" s="41" t="str">
        <f aca="false">IF($L415="청산",$N415-$M415-$O415,"")</f>
        <v/>
      </c>
      <c r="Q415" s="42" t="str">
        <f aca="false">IF($L415="청산",IF($M415=0,"",$P415/$M415),"")</f>
        <v/>
      </c>
      <c r="R415" s="43" t="str">
        <f aca="true">IF($B415="","",IF($L415="청산",$H415-$D415,IF($D415="","",TODAY()-$D415)))</f>
        <v/>
      </c>
      <c r="S415" s="44" t="str">
        <f aca="false">IF($L415="청산",DATE(YEAR($H415),MONTH($H415),1),"")</f>
        <v/>
      </c>
      <c r="T415" s="48"/>
      <c r="U415" s="49"/>
      <c r="V415" s="46" t="str">
        <f aca="false">IF($B415="","",IF($L415&lt;&gt;"청산",N(V414),IF($P415&gt;0,N(V414)+1,0)))</f>
        <v/>
      </c>
      <c r="W415" s="46" t="str">
        <f aca="false">IF($B415="","",IF($L415&lt;&gt;"청산",N(W414),IF($P415&lt;0,N(W414)+1,0)))</f>
        <v/>
      </c>
    </row>
    <row r="416" customFormat="false" ht="15" hidden="false" customHeight="false" outlineLevel="0" collapsed="false">
      <c r="A416" s="32" t="str">
        <f aca="false">IF($B416="","",ROW()-5)</f>
        <v/>
      </c>
      <c r="B416" s="48"/>
      <c r="C416" s="49"/>
      <c r="D416" s="50"/>
      <c r="E416" s="51"/>
      <c r="F416" s="52"/>
      <c r="G416" s="53"/>
      <c r="H416" s="50"/>
      <c r="I416" s="51"/>
      <c r="J416" s="53"/>
      <c r="K416" s="53"/>
      <c r="L416" s="39" t="str">
        <f aca="false">IF($B416="","",IF($H416="","보유중","청산"))</f>
        <v/>
      </c>
      <c r="M416" s="40" t="str">
        <f aca="false">IF($B416="","",$E416*$F416)</f>
        <v/>
      </c>
      <c r="N416" s="40" t="str">
        <f aca="false">IF($L416="청산",$I416*$F416,"")</f>
        <v/>
      </c>
      <c r="O416" s="40" t="str">
        <f aca="false">IF($B416="","",$G416+$J416+$K416)</f>
        <v/>
      </c>
      <c r="P416" s="41" t="str">
        <f aca="false">IF($L416="청산",$N416-$M416-$O416,"")</f>
        <v/>
      </c>
      <c r="Q416" s="42" t="str">
        <f aca="false">IF($L416="청산",IF($M416=0,"",$P416/$M416),"")</f>
        <v/>
      </c>
      <c r="R416" s="43" t="str">
        <f aca="true">IF($B416="","",IF($L416="청산",$H416-$D416,IF($D416="","",TODAY()-$D416)))</f>
        <v/>
      </c>
      <c r="S416" s="44" t="str">
        <f aca="false">IF($L416="청산",DATE(YEAR($H416),MONTH($H416),1),"")</f>
        <v/>
      </c>
      <c r="T416" s="48"/>
      <c r="U416" s="49"/>
      <c r="V416" s="46" t="str">
        <f aca="false">IF($B416="","",IF($L416&lt;&gt;"청산",N(V415),IF($P416&gt;0,N(V415)+1,0)))</f>
        <v/>
      </c>
      <c r="W416" s="46" t="str">
        <f aca="false">IF($B416="","",IF($L416&lt;&gt;"청산",N(W415),IF($P416&lt;0,N(W415)+1,0)))</f>
        <v/>
      </c>
    </row>
    <row r="417" customFormat="false" ht="15" hidden="false" customHeight="false" outlineLevel="0" collapsed="false">
      <c r="A417" s="32" t="str">
        <f aca="false">IF($B417="","",ROW()-5)</f>
        <v/>
      </c>
      <c r="B417" s="48"/>
      <c r="C417" s="49"/>
      <c r="D417" s="50"/>
      <c r="E417" s="51"/>
      <c r="F417" s="52"/>
      <c r="G417" s="53"/>
      <c r="H417" s="50"/>
      <c r="I417" s="51"/>
      <c r="J417" s="53"/>
      <c r="K417" s="53"/>
      <c r="L417" s="39" t="str">
        <f aca="false">IF($B417="","",IF($H417="","보유중","청산"))</f>
        <v/>
      </c>
      <c r="M417" s="40" t="str">
        <f aca="false">IF($B417="","",$E417*$F417)</f>
        <v/>
      </c>
      <c r="N417" s="40" t="str">
        <f aca="false">IF($L417="청산",$I417*$F417,"")</f>
        <v/>
      </c>
      <c r="O417" s="40" t="str">
        <f aca="false">IF($B417="","",$G417+$J417+$K417)</f>
        <v/>
      </c>
      <c r="P417" s="41" t="str">
        <f aca="false">IF($L417="청산",$N417-$M417-$O417,"")</f>
        <v/>
      </c>
      <c r="Q417" s="42" t="str">
        <f aca="false">IF($L417="청산",IF($M417=0,"",$P417/$M417),"")</f>
        <v/>
      </c>
      <c r="R417" s="43" t="str">
        <f aca="true">IF($B417="","",IF($L417="청산",$H417-$D417,IF($D417="","",TODAY()-$D417)))</f>
        <v/>
      </c>
      <c r="S417" s="44" t="str">
        <f aca="false">IF($L417="청산",DATE(YEAR($H417),MONTH($H417),1),"")</f>
        <v/>
      </c>
      <c r="T417" s="48"/>
      <c r="U417" s="49"/>
      <c r="V417" s="46" t="str">
        <f aca="false">IF($B417="","",IF($L417&lt;&gt;"청산",N(V416),IF($P417&gt;0,N(V416)+1,0)))</f>
        <v/>
      </c>
      <c r="W417" s="46" t="str">
        <f aca="false">IF($B417="","",IF($L417&lt;&gt;"청산",N(W416),IF($P417&lt;0,N(W416)+1,0)))</f>
        <v/>
      </c>
    </row>
    <row r="418" customFormat="false" ht="15" hidden="false" customHeight="false" outlineLevel="0" collapsed="false">
      <c r="A418" s="32" t="str">
        <f aca="false">IF($B418="","",ROW()-5)</f>
        <v/>
      </c>
      <c r="B418" s="48"/>
      <c r="C418" s="49"/>
      <c r="D418" s="50"/>
      <c r="E418" s="51"/>
      <c r="F418" s="52"/>
      <c r="G418" s="53"/>
      <c r="H418" s="50"/>
      <c r="I418" s="51"/>
      <c r="J418" s="53"/>
      <c r="K418" s="53"/>
      <c r="L418" s="39" t="str">
        <f aca="false">IF($B418="","",IF($H418="","보유중","청산"))</f>
        <v/>
      </c>
      <c r="M418" s="40" t="str">
        <f aca="false">IF($B418="","",$E418*$F418)</f>
        <v/>
      </c>
      <c r="N418" s="40" t="str">
        <f aca="false">IF($L418="청산",$I418*$F418,"")</f>
        <v/>
      </c>
      <c r="O418" s="40" t="str">
        <f aca="false">IF($B418="","",$G418+$J418+$K418)</f>
        <v/>
      </c>
      <c r="P418" s="41" t="str">
        <f aca="false">IF($L418="청산",$N418-$M418-$O418,"")</f>
        <v/>
      </c>
      <c r="Q418" s="42" t="str">
        <f aca="false">IF($L418="청산",IF($M418=0,"",$P418/$M418),"")</f>
        <v/>
      </c>
      <c r="R418" s="43" t="str">
        <f aca="true">IF($B418="","",IF($L418="청산",$H418-$D418,IF($D418="","",TODAY()-$D418)))</f>
        <v/>
      </c>
      <c r="S418" s="44" t="str">
        <f aca="false">IF($L418="청산",DATE(YEAR($H418),MONTH($H418),1),"")</f>
        <v/>
      </c>
      <c r="T418" s="48"/>
      <c r="U418" s="49"/>
      <c r="V418" s="46" t="str">
        <f aca="false">IF($B418="","",IF($L418&lt;&gt;"청산",N(V417),IF($P418&gt;0,N(V417)+1,0)))</f>
        <v/>
      </c>
      <c r="W418" s="46" t="str">
        <f aca="false">IF($B418="","",IF($L418&lt;&gt;"청산",N(W417),IF($P418&lt;0,N(W417)+1,0)))</f>
        <v/>
      </c>
    </row>
    <row r="419" customFormat="false" ht="15" hidden="false" customHeight="false" outlineLevel="0" collapsed="false">
      <c r="A419" s="32" t="str">
        <f aca="false">IF($B419="","",ROW()-5)</f>
        <v/>
      </c>
      <c r="B419" s="48"/>
      <c r="C419" s="49"/>
      <c r="D419" s="50"/>
      <c r="E419" s="51"/>
      <c r="F419" s="52"/>
      <c r="G419" s="53"/>
      <c r="H419" s="50"/>
      <c r="I419" s="51"/>
      <c r="J419" s="53"/>
      <c r="K419" s="53"/>
      <c r="L419" s="39" t="str">
        <f aca="false">IF($B419="","",IF($H419="","보유중","청산"))</f>
        <v/>
      </c>
      <c r="M419" s="40" t="str">
        <f aca="false">IF($B419="","",$E419*$F419)</f>
        <v/>
      </c>
      <c r="N419" s="40" t="str">
        <f aca="false">IF($L419="청산",$I419*$F419,"")</f>
        <v/>
      </c>
      <c r="O419" s="40" t="str">
        <f aca="false">IF($B419="","",$G419+$J419+$K419)</f>
        <v/>
      </c>
      <c r="P419" s="41" t="str">
        <f aca="false">IF($L419="청산",$N419-$M419-$O419,"")</f>
        <v/>
      </c>
      <c r="Q419" s="42" t="str">
        <f aca="false">IF($L419="청산",IF($M419=0,"",$P419/$M419),"")</f>
        <v/>
      </c>
      <c r="R419" s="43" t="str">
        <f aca="true">IF($B419="","",IF($L419="청산",$H419-$D419,IF($D419="","",TODAY()-$D419)))</f>
        <v/>
      </c>
      <c r="S419" s="44" t="str">
        <f aca="false">IF($L419="청산",DATE(YEAR($H419),MONTH($H419),1),"")</f>
        <v/>
      </c>
      <c r="T419" s="48"/>
      <c r="U419" s="49"/>
      <c r="V419" s="46" t="str">
        <f aca="false">IF($B419="","",IF($L419&lt;&gt;"청산",N(V418),IF($P419&gt;0,N(V418)+1,0)))</f>
        <v/>
      </c>
      <c r="W419" s="46" t="str">
        <f aca="false">IF($B419="","",IF($L419&lt;&gt;"청산",N(W418),IF($P419&lt;0,N(W418)+1,0)))</f>
        <v/>
      </c>
    </row>
    <row r="420" customFormat="false" ht="15" hidden="false" customHeight="false" outlineLevel="0" collapsed="false">
      <c r="A420" s="32" t="str">
        <f aca="false">IF($B420="","",ROW()-5)</f>
        <v/>
      </c>
      <c r="B420" s="48"/>
      <c r="C420" s="49"/>
      <c r="D420" s="50"/>
      <c r="E420" s="51"/>
      <c r="F420" s="52"/>
      <c r="G420" s="53"/>
      <c r="H420" s="50"/>
      <c r="I420" s="51"/>
      <c r="J420" s="53"/>
      <c r="K420" s="53"/>
      <c r="L420" s="39" t="str">
        <f aca="false">IF($B420="","",IF($H420="","보유중","청산"))</f>
        <v/>
      </c>
      <c r="M420" s="40" t="str">
        <f aca="false">IF($B420="","",$E420*$F420)</f>
        <v/>
      </c>
      <c r="N420" s="40" t="str">
        <f aca="false">IF($L420="청산",$I420*$F420,"")</f>
        <v/>
      </c>
      <c r="O420" s="40" t="str">
        <f aca="false">IF($B420="","",$G420+$J420+$K420)</f>
        <v/>
      </c>
      <c r="P420" s="41" t="str">
        <f aca="false">IF($L420="청산",$N420-$M420-$O420,"")</f>
        <v/>
      </c>
      <c r="Q420" s="42" t="str">
        <f aca="false">IF($L420="청산",IF($M420=0,"",$P420/$M420),"")</f>
        <v/>
      </c>
      <c r="R420" s="43" t="str">
        <f aca="true">IF($B420="","",IF($L420="청산",$H420-$D420,IF($D420="","",TODAY()-$D420)))</f>
        <v/>
      </c>
      <c r="S420" s="44" t="str">
        <f aca="false">IF($L420="청산",DATE(YEAR($H420),MONTH($H420),1),"")</f>
        <v/>
      </c>
      <c r="T420" s="48"/>
      <c r="U420" s="49"/>
      <c r="V420" s="46" t="str">
        <f aca="false">IF($B420="","",IF($L420&lt;&gt;"청산",N(V419),IF($P420&gt;0,N(V419)+1,0)))</f>
        <v/>
      </c>
      <c r="W420" s="46" t="str">
        <f aca="false">IF($B420="","",IF($L420&lt;&gt;"청산",N(W419),IF($P420&lt;0,N(W419)+1,0)))</f>
        <v/>
      </c>
    </row>
    <row r="421" customFormat="false" ht="15" hidden="false" customHeight="false" outlineLevel="0" collapsed="false">
      <c r="A421" s="32" t="str">
        <f aca="false">IF($B421="","",ROW()-5)</f>
        <v/>
      </c>
      <c r="B421" s="48"/>
      <c r="C421" s="49"/>
      <c r="D421" s="50"/>
      <c r="E421" s="51"/>
      <c r="F421" s="52"/>
      <c r="G421" s="53"/>
      <c r="H421" s="50"/>
      <c r="I421" s="51"/>
      <c r="J421" s="53"/>
      <c r="K421" s="53"/>
      <c r="L421" s="39" t="str">
        <f aca="false">IF($B421="","",IF($H421="","보유중","청산"))</f>
        <v/>
      </c>
      <c r="M421" s="40" t="str">
        <f aca="false">IF($B421="","",$E421*$F421)</f>
        <v/>
      </c>
      <c r="N421" s="40" t="str">
        <f aca="false">IF($L421="청산",$I421*$F421,"")</f>
        <v/>
      </c>
      <c r="O421" s="40" t="str">
        <f aca="false">IF($B421="","",$G421+$J421+$K421)</f>
        <v/>
      </c>
      <c r="P421" s="41" t="str">
        <f aca="false">IF($L421="청산",$N421-$M421-$O421,"")</f>
        <v/>
      </c>
      <c r="Q421" s="42" t="str">
        <f aca="false">IF($L421="청산",IF($M421=0,"",$P421/$M421),"")</f>
        <v/>
      </c>
      <c r="R421" s="43" t="str">
        <f aca="true">IF($B421="","",IF($L421="청산",$H421-$D421,IF($D421="","",TODAY()-$D421)))</f>
        <v/>
      </c>
      <c r="S421" s="44" t="str">
        <f aca="false">IF($L421="청산",DATE(YEAR($H421),MONTH($H421),1),"")</f>
        <v/>
      </c>
      <c r="T421" s="48"/>
      <c r="U421" s="49"/>
      <c r="V421" s="46" t="str">
        <f aca="false">IF($B421="","",IF($L421&lt;&gt;"청산",N(V420),IF($P421&gt;0,N(V420)+1,0)))</f>
        <v/>
      </c>
      <c r="W421" s="46" t="str">
        <f aca="false">IF($B421="","",IF($L421&lt;&gt;"청산",N(W420),IF($P421&lt;0,N(W420)+1,0)))</f>
        <v/>
      </c>
    </row>
    <row r="422" customFormat="false" ht="15" hidden="false" customHeight="false" outlineLevel="0" collapsed="false">
      <c r="A422" s="32" t="str">
        <f aca="false">IF($B422="","",ROW()-5)</f>
        <v/>
      </c>
      <c r="B422" s="48"/>
      <c r="C422" s="49"/>
      <c r="D422" s="50"/>
      <c r="E422" s="51"/>
      <c r="F422" s="52"/>
      <c r="G422" s="53"/>
      <c r="H422" s="50"/>
      <c r="I422" s="51"/>
      <c r="J422" s="53"/>
      <c r="K422" s="53"/>
      <c r="L422" s="39" t="str">
        <f aca="false">IF($B422="","",IF($H422="","보유중","청산"))</f>
        <v/>
      </c>
      <c r="M422" s="40" t="str">
        <f aca="false">IF($B422="","",$E422*$F422)</f>
        <v/>
      </c>
      <c r="N422" s="40" t="str">
        <f aca="false">IF($L422="청산",$I422*$F422,"")</f>
        <v/>
      </c>
      <c r="O422" s="40" t="str">
        <f aca="false">IF($B422="","",$G422+$J422+$K422)</f>
        <v/>
      </c>
      <c r="P422" s="41" t="str">
        <f aca="false">IF($L422="청산",$N422-$M422-$O422,"")</f>
        <v/>
      </c>
      <c r="Q422" s="42" t="str">
        <f aca="false">IF($L422="청산",IF($M422=0,"",$P422/$M422),"")</f>
        <v/>
      </c>
      <c r="R422" s="43" t="str">
        <f aca="true">IF($B422="","",IF($L422="청산",$H422-$D422,IF($D422="","",TODAY()-$D422)))</f>
        <v/>
      </c>
      <c r="S422" s="44" t="str">
        <f aca="false">IF($L422="청산",DATE(YEAR($H422),MONTH($H422),1),"")</f>
        <v/>
      </c>
      <c r="T422" s="48"/>
      <c r="U422" s="49"/>
      <c r="V422" s="46" t="str">
        <f aca="false">IF($B422="","",IF($L422&lt;&gt;"청산",N(V421),IF($P422&gt;0,N(V421)+1,0)))</f>
        <v/>
      </c>
      <c r="W422" s="46" t="str">
        <f aca="false">IF($B422="","",IF($L422&lt;&gt;"청산",N(W421),IF($P422&lt;0,N(W421)+1,0)))</f>
        <v/>
      </c>
    </row>
    <row r="423" customFormat="false" ht="15" hidden="false" customHeight="false" outlineLevel="0" collapsed="false">
      <c r="A423" s="32" t="str">
        <f aca="false">IF($B423="","",ROW()-5)</f>
        <v/>
      </c>
      <c r="B423" s="48"/>
      <c r="C423" s="49"/>
      <c r="D423" s="50"/>
      <c r="E423" s="51"/>
      <c r="F423" s="52"/>
      <c r="G423" s="53"/>
      <c r="H423" s="50"/>
      <c r="I423" s="51"/>
      <c r="J423" s="53"/>
      <c r="K423" s="53"/>
      <c r="L423" s="39" t="str">
        <f aca="false">IF($B423="","",IF($H423="","보유중","청산"))</f>
        <v/>
      </c>
      <c r="M423" s="40" t="str">
        <f aca="false">IF($B423="","",$E423*$F423)</f>
        <v/>
      </c>
      <c r="N423" s="40" t="str">
        <f aca="false">IF($L423="청산",$I423*$F423,"")</f>
        <v/>
      </c>
      <c r="O423" s="40" t="str">
        <f aca="false">IF($B423="","",$G423+$J423+$K423)</f>
        <v/>
      </c>
      <c r="P423" s="41" t="str">
        <f aca="false">IF($L423="청산",$N423-$M423-$O423,"")</f>
        <v/>
      </c>
      <c r="Q423" s="42" t="str">
        <f aca="false">IF($L423="청산",IF($M423=0,"",$P423/$M423),"")</f>
        <v/>
      </c>
      <c r="R423" s="43" t="str">
        <f aca="true">IF($B423="","",IF($L423="청산",$H423-$D423,IF($D423="","",TODAY()-$D423)))</f>
        <v/>
      </c>
      <c r="S423" s="44" t="str">
        <f aca="false">IF($L423="청산",DATE(YEAR($H423),MONTH($H423),1),"")</f>
        <v/>
      </c>
      <c r="T423" s="48"/>
      <c r="U423" s="49"/>
      <c r="V423" s="46" t="str">
        <f aca="false">IF($B423="","",IF($L423&lt;&gt;"청산",N(V422),IF($P423&gt;0,N(V422)+1,0)))</f>
        <v/>
      </c>
      <c r="W423" s="46" t="str">
        <f aca="false">IF($B423="","",IF($L423&lt;&gt;"청산",N(W422),IF($P423&lt;0,N(W422)+1,0)))</f>
        <v/>
      </c>
    </row>
    <row r="424" customFormat="false" ht="15" hidden="false" customHeight="false" outlineLevel="0" collapsed="false">
      <c r="A424" s="32" t="str">
        <f aca="false">IF($B424="","",ROW()-5)</f>
        <v/>
      </c>
      <c r="B424" s="48"/>
      <c r="C424" s="49"/>
      <c r="D424" s="50"/>
      <c r="E424" s="51"/>
      <c r="F424" s="52"/>
      <c r="G424" s="53"/>
      <c r="H424" s="50"/>
      <c r="I424" s="51"/>
      <c r="J424" s="53"/>
      <c r="K424" s="53"/>
      <c r="L424" s="39" t="str">
        <f aca="false">IF($B424="","",IF($H424="","보유중","청산"))</f>
        <v/>
      </c>
      <c r="M424" s="40" t="str">
        <f aca="false">IF($B424="","",$E424*$F424)</f>
        <v/>
      </c>
      <c r="N424" s="40" t="str">
        <f aca="false">IF($L424="청산",$I424*$F424,"")</f>
        <v/>
      </c>
      <c r="O424" s="40" t="str">
        <f aca="false">IF($B424="","",$G424+$J424+$K424)</f>
        <v/>
      </c>
      <c r="P424" s="41" t="str">
        <f aca="false">IF($L424="청산",$N424-$M424-$O424,"")</f>
        <v/>
      </c>
      <c r="Q424" s="42" t="str">
        <f aca="false">IF($L424="청산",IF($M424=0,"",$P424/$M424),"")</f>
        <v/>
      </c>
      <c r="R424" s="43" t="str">
        <f aca="true">IF($B424="","",IF($L424="청산",$H424-$D424,IF($D424="","",TODAY()-$D424)))</f>
        <v/>
      </c>
      <c r="S424" s="44" t="str">
        <f aca="false">IF($L424="청산",DATE(YEAR($H424),MONTH($H424),1),"")</f>
        <v/>
      </c>
      <c r="T424" s="48"/>
      <c r="U424" s="49"/>
      <c r="V424" s="46" t="str">
        <f aca="false">IF($B424="","",IF($L424&lt;&gt;"청산",N(V423),IF($P424&gt;0,N(V423)+1,0)))</f>
        <v/>
      </c>
      <c r="W424" s="46" t="str">
        <f aca="false">IF($B424="","",IF($L424&lt;&gt;"청산",N(W423),IF($P424&lt;0,N(W423)+1,0)))</f>
        <v/>
      </c>
    </row>
    <row r="425" customFormat="false" ht="15" hidden="false" customHeight="false" outlineLevel="0" collapsed="false">
      <c r="A425" s="32" t="str">
        <f aca="false">IF($B425="","",ROW()-5)</f>
        <v/>
      </c>
      <c r="B425" s="48"/>
      <c r="C425" s="49"/>
      <c r="D425" s="50"/>
      <c r="E425" s="51"/>
      <c r="F425" s="52"/>
      <c r="G425" s="53"/>
      <c r="H425" s="50"/>
      <c r="I425" s="51"/>
      <c r="J425" s="53"/>
      <c r="K425" s="53"/>
      <c r="L425" s="39" t="str">
        <f aca="false">IF($B425="","",IF($H425="","보유중","청산"))</f>
        <v/>
      </c>
      <c r="M425" s="40" t="str">
        <f aca="false">IF($B425="","",$E425*$F425)</f>
        <v/>
      </c>
      <c r="N425" s="40" t="str">
        <f aca="false">IF($L425="청산",$I425*$F425,"")</f>
        <v/>
      </c>
      <c r="O425" s="40" t="str">
        <f aca="false">IF($B425="","",$G425+$J425+$K425)</f>
        <v/>
      </c>
      <c r="P425" s="41" t="str">
        <f aca="false">IF($L425="청산",$N425-$M425-$O425,"")</f>
        <v/>
      </c>
      <c r="Q425" s="42" t="str">
        <f aca="false">IF($L425="청산",IF($M425=0,"",$P425/$M425),"")</f>
        <v/>
      </c>
      <c r="R425" s="43" t="str">
        <f aca="true">IF($B425="","",IF($L425="청산",$H425-$D425,IF($D425="","",TODAY()-$D425)))</f>
        <v/>
      </c>
      <c r="S425" s="44" t="str">
        <f aca="false">IF($L425="청산",DATE(YEAR($H425),MONTH($H425),1),"")</f>
        <v/>
      </c>
      <c r="T425" s="48"/>
      <c r="U425" s="49"/>
      <c r="V425" s="46" t="str">
        <f aca="false">IF($B425="","",IF($L425&lt;&gt;"청산",N(V424),IF($P425&gt;0,N(V424)+1,0)))</f>
        <v/>
      </c>
      <c r="W425" s="46" t="str">
        <f aca="false">IF($B425="","",IF($L425&lt;&gt;"청산",N(W424),IF($P425&lt;0,N(W424)+1,0)))</f>
        <v/>
      </c>
    </row>
    <row r="426" customFormat="false" ht="15" hidden="false" customHeight="false" outlineLevel="0" collapsed="false">
      <c r="A426" s="32" t="str">
        <f aca="false">IF($B426="","",ROW()-5)</f>
        <v/>
      </c>
      <c r="B426" s="48"/>
      <c r="C426" s="49"/>
      <c r="D426" s="50"/>
      <c r="E426" s="51"/>
      <c r="F426" s="52"/>
      <c r="G426" s="53"/>
      <c r="H426" s="50"/>
      <c r="I426" s="51"/>
      <c r="J426" s="53"/>
      <c r="K426" s="53"/>
      <c r="L426" s="39" t="str">
        <f aca="false">IF($B426="","",IF($H426="","보유중","청산"))</f>
        <v/>
      </c>
      <c r="M426" s="40" t="str">
        <f aca="false">IF($B426="","",$E426*$F426)</f>
        <v/>
      </c>
      <c r="N426" s="40" t="str">
        <f aca="false">IF($L426="청산",$I426*$F426,"")</f>
        <v/>
      </c>
      <c r="O426" s="40" t="str">
        <f aca="false">IF($B426="","",$G426+$J426+$K426)</f>
        <v/>
      </c>
      <c r="P426" s="41" t="str">
        <f aca="false">IF($L426="청산",$N426-$M426-$O426,"")</f>
        <v/>
      </c>
      <c r="Q426" s="42" t="str">
        <f aca="false">IF($L426="청산",IF($M426=0,"",$P426/$M426),"")</f>
        <v/>
      </c>
      <c r="R426" s="43" t="str">
        <f aca="true">IF($B426="","",IF($L426="청산",$H426-$D426,IF($D426="","",TODAY()-$D426)))</f>
        <v/>
      </c>
      <c r="S426" s="44" t="str">
        <f aca="false">IF($L426="청산",DATE(YEAR($H426),MONTH($H426),1),"")</f>
        <v/>
      </c>
      <c r="T426" s="48"/>
      <c r="U426" s="49"/>
      <c r="V426" s="46" t="str">
        <f aca="false">IF($B426="","",IF($L426&lt;&gt;"청산",N(V425),IF($P426&gt;0,N(V425)+1,0)))</f>
        <v/>
      </c>
      <c r="W426" s="46" t="str">
        <f aca="false">IF($B426="","",IF($L426&lt;&gt;"청산",N(W425),IF($P426&lt;0,N(W425)+1,0)))</f>
        <v/>
      </c>
    </row>
    <row r="427" customFormat="false" ht="15" hidden="false" customHeight="false" outlineLevel="0" collapsed="false">
      <c r="A427" s="32" t="str">
        <f aca="false">IF($B427="","",ROW()-5)</f>
        <v/>
      </c>
      <c r="B427" s="48"/>
      <c r="C427" s="49"/>
      <c r="D427" s="50"/>
      <c r="E427" s="51"/>
      <c r="F427" s="52"/>
      <c r="G427" s="53"/>
      <c r="H427" s="50"/>
      <c r="I427" s="51"/>
      <c r="J427" s="53"/>
      <c r="K427" s="53"/>
      <c r="L427" s="39" t="str">
        <f aca="false">IF($B427="","",IF($H427="","보유중","청산"))</f>
        <v/>
      </c>
      <c r="M427" s="40" t="str">
        <f aca="false">IF($B427="","",$E427*$F427)</f>
        <v/>
      </c>
      <c r="N427" s="40" t="str">
        <f aca="false">IF($L427="청산",$I427*$F427,"")</f>
        <v/>
      </c>
      <c r="O427" s="40" t="str">
        <f aca="false">IF($B427="","",$G427+$J427+$K427)</f>
        <v/>
      </c>
      <c r="P427" s="41" t="str">
        <f aca="false">IF($L427="청산",$N427-$M427-$O427,"")</f>
        <v/>
      </c>
      <c r="Q427" s="42" t="str">
        <f aca="false">IF($L427="청산",IF($M427=0,"",$P427/$M427),"")</f>
        <v/>
      </c>
      <c r="R427" s="43" t="str">
        <f aca="true">IF($B427="","",IF($L427="청산",$H427-$D427,IF($D427="","",TODAY()-$D427)))</f>
        <v/>
      </c>
      <c r="S427" s="44" t="str">
        <f aca="false">IF($L427="청산",DATE(YEAR($H427),MONTH($H427),1),"")</f>
        <v/>
      </c>
      <c r="T427" s="48"/>
      <c r="U427" s="49"/>
      <c r="V427" s="46" t="str">
        <f aca="false">IF($B427="","",IF($L427&lt;&gt;"청산",N(V426),IF($P427&gt;0,N(V426)+1,0)))</f>
        <v/>
      </c>
      <c r="W427" s="46" t="str">
        <f aca="false">IF($B427="","",IF($L427&lt;&gt;"청산",N(W426),IF($P427&lt;0,N(W426)+1,0)))</f>
        <v/>
      </c>
    </row>
    <row r="428" customFormat="false" ht="15" hidden="false" customHeight="false" outlineLevel="0" collapsed="false">
      <c r="A428" s="32" t="str">
        <f aca="false">IF($B428="","",ROW()-5)</f>
        <v/>
      </c>
      <c r="B428" s="48"/>
      <c r="C428" s="49"/>
      <c r="D428" s="50"/>
      <c r="E428" s="51"/>
      <c r="F428" s="52"/>
      <c r="G428" s="53"/>
      <c r="H428" s="50"/>
      <c r="I428" s="51"/>
      <c r="J428" s="53"/>
      <c r="K428" s="53"/>
      <c r="L428" s="39" t="str">
        <f aca="false">IF($B428="","",IF($H428="","보유중","청산"))</f>
        <v/>
      </c>
      <c r="M428" s="40" t="str">
        <f aca="false">IF($B428="","",$E428*$F428)</f>
        <v/>
      </c>
      <c r="N428" s="40" t="str">
        <f aca="false">IF($L428="청산",$I428*$F428,"")</f>
        <v/>
      </c>
      <c r="O428" s="40" t="str">
        <f aca="false">IF($B428="","",$G428+$J428+$K428)</f>
        <v/>
      </c>
      <c r="P428" s="41" t="str">
        <f aca="false">IF($L428="청산",$N428-$M428-$O428,"")</f>
        <v/>
      </c>
      <c r="Q428" s="42" t="str">
        <f aca="false">IF($L428="청산",IF($M428=0,"",$P428/$M428),"")</f>
        <v/>
      </c>
      <c r="R428" s="43" t="str">
        <f aca="true">IF($B428="","",IF($L428="청산",$H428-$D428,IF($D428="","",TODAY()-$D428)))</f>
        <v/>
      </c>
      <c r="S428" s="44" t="str">
        <f aca="false">IF($L428="청산",DATE(YEAR($H428),MONTH($H428),1),"")</f>
        <v/>
      </c>
      <c r="T428" s="48"/>
      <c r="U428" s="49"/>
      <c r="V428" s="46" t="str">
        <f aca="false">IF($B428="","",IF($L428&lt;&gt;"청산",N(V427),IF($P428&gt;0,N(V427)+1,0)))</f>
        <v/>
      </c>
      <c r="W428" s="46" t="str">
        <f aca="false">IF($B428="","",IF($L428&lt;&gt;"청산",N(W427),IF($P428&lt;0,N(W427)+1,0)))</f>
        <v/>
      </c>
    </row>
    <row r="429" customFormat="false" ht="15" hidden="false" customHeight="false" outlineLevel="0" collapsed="false">
      <c r="A429" s="32" t="str">
        <f aca="false">IF($B429="","",ROW()-5)</f>
        <v/>
      </c>
      <c r="B429" s="48"/>
      <c r="C429" s="49"/>
      <c r="D429" s="50"/>
      <c r="E429" s="51"/>
      <c r="F429" s="52"/>
      <c r="G429" s="53"/>
      <c r="H429" s="50"/>
      <c r="I429" s="51"/>
      <c r="J429" s="53"/>
      <c r="K429" s="53"/>
      <c r="L429" s="39" t="str">
        <f aca="false">IF($B429="","",IF($H429="","보유중","청산"))</f>
        <v/>
      </c>
      <c r="M429" s="40" t="str">
        <f aca="false">IF($B429="","",$E429*$F429)</f>
        <v/>
      </c>
      <c r="N429" s="40" t="str">
        <f aca="false">IF($L429="청산",$I429*$F429,"")</f>
        <v/>
      </c>
      <c r="O429" s="40" t="str">
        <f aca="false">IF($B429="","",$G429+$J429+$K429)</f>
        <v/>
      </c>
      <c r="P429" s="41" t="str">
        <f aca="false">IF($L429="청산",$N429-$M429-$O429,"")</f>
        <v/>
      </c>
      <c r="Q429" s="42" t="str">
        <f aca="false">IF($L429="청산",IF($M429=0,"",$P429/$M429),"")</f>
        <v/>
      </c>
      <c r="R429" s="43" t="str">
        <f aca="true">IF($B429="","",IF($L429="청산",$H429-$D429,IF($D429="","",TODAY()-$D429)))</f>
        <v/>
      </c>
      <c r="S429" s="44" t="str">
        <f aca="false">IF($L429="청산",DATE(YEAR($H429),MONTH($H429),1),"")</f>
        <v/>
      </c>
      <c r="T429" s="48"/>
      <c r="U429" s="49"/>
      <c r="V429" s="46" t="str">
        <f aca="false">IF($B429="","",IF($L429&lt;&gt;"청산",N(V428),IF($P429&gt;0,N(V428)+1,0)))</f>
        <v/>
      </c>
      <c r="W429" s="46" t="str">
        <f aca="false">IF($B429="","",IF($L429&lt;&gt;"청산",N(W428),IF($P429&lt;0,N(W428)+1,0)))</f>
        <v/>
      </c>
    </row>
    <row r="430" customFormat="false" ht="15" hidden="false" customHeight="false" outlineLevel="0" collapsed="false">
      <c r="A430" s="32" t="str">
        <f aca="false">IF($B430="","",ROW()-5)</f>
        <v/>
      </c>
      <c r="B430" s="48"/>
      <c r="C430" s="49"/>
      <c r="D430" s="50"/>
      <c r="E430" s="51"/>
      <c r="F430" s="52"/>
      <c r="G430" s="53"/>
      <c r="H430" s="50"/>
      <c r="I430" s="51"/>
      <c r="J430" s="53"/>
      <c r="K430" s="53"/>
      <c r="L430" s="39" t="str">
        <f aca="false">IF($B430="","",IF($H430="","보유중","청산"))</f>
        <v/>
      </c>
      <c r="M430" s="40" t="str">
        <f aca="false">IF($B430="","",$E430*$F430)</f>
        <v/>
      </c>
      <c r="N430" s="40" t="str">
        <f aca="false">IF($L430="청산",$I430*$F430,"")</f>
        <v/>
      </c>
      <c r="O430" s="40" t="str">
        <f aca="false">IF($B430="","",$G430+$J430+$K430)</f>
        <v/>
      </c>
      <c r="P430" s="41" t="str">
        <f aca="false">IF($L430="청산",$N430-$M430-$O430,"")</f>
        <v/>
      </c>
      <c r="Q430" s="42" t="str">
        <f aca="false">IF($L430="청산",IF($M430=0,"",$P430/$M430),"")</f>
        <v/>
      </c>
      <c r="R430" s="43" t="str">
        <f aca="true">IF($B430="","",IF($L430="청산",$H430-$D430,IF($D430="","",TODAY()-$D430)))</f>
        <v/>
      </c>
      <c r="S430" s="44" t="str">
        <f aca="false">IF($L430="청산",DATE(YEAR($H430),MONTH($H430),1),"")</f>
        <v/>
      </c>
      <c r="T430" s="48"/>
      <c r="U430" s="49"/>
      <c r="V430" s="46" t="str">
        <f aca="false">IF($B430="","",IF($L430&lt;&gt;"청산",N(V429),IF($P430&gt;0,N(V429)+1,0)))</f>
        <v/>
      </c>
      <c r="W430" s="46" t="str">
        <f aca="false">IF($B430="","",IF($L430&lt;&gt;"청산",N(W429),IF($P430&lt;0,N(W429)+1,0)))</f>
        <v/>
      </c>
    </row>
    <row r="431" customFormat="false" ht="15" hidden="false" customHeight="false" outlineLevel="0" collapsed="false">
      <c r="A431" s="32" t="str">
        <f aca="false">IF($B431="","",ROW()-5)</f>
        <v/>
      </c>
      <c r="B431" s="48"/>
      <c r="C431" s="49"/>
      <c r="D431" s="50"/>
      <c r="E431" s="51"/>
      <c r="F431" s="52"/>
      <c r="G431" s="53"/>
      <c r="H431" s="50"/>
      <c r="I431" s="51"/>
      <c r="J431" s="53"/>
      <c r="K431" s="53"/>
      <c r="L431" s="39" t="str">
        <f aca="false">IF($B431="","",IF($H431="","보유중","청산"))</f>
        <v/>
      </c>
      <c r="M431" s="40" t="str">
        <f aca="false">IF($B431="","",$E431*$F431)</f>
        <v/>
      </c>
      <c r="N431" s="40" t="str">
        <f aca="false">IF($L431="청산",$I431*$F431,"")</f>
        <v/>
      </c>
      <c r="O431" s="40" t="str">
        <f aca="false">IF($B431="","",$G431+$J431+$K431)</f>
        <v/>
      </c>
      <c r="P431" s="41" t="str">
        <f aca="false">IF($L431="청산",$N431-$M431-$O431,"")</f>
        <v/>
      </c>
      <c r="Q431" s="42" t="str">
        <f aca="false">IF($L431="청산",IF($M431=0,"",$P431/$M431),"")</f>
        <v/>
      </c>
      <c r="R431" s="43" t="str">
        <f aca="true">IF($B431="","",IF($L431="청산",$H431-$D431,IF($D431="","",TODAY()-$D431)))</f>
        <v/>
      </c>
      <c r="S431" s="44" t="str">
        <f aca="false">IF($L431="청산",DATE(YEAR($H431),MONTH($H431),1),"")</f>
        <v/>
      </c>
      <c r="T431" s="48"/>
      <c r="U431" s="49"/>
      <c r="V431" s="46" t="str">
        <f aca="false">IF($B431="","",IF($L431&lt;&gt;"청산",N(V430),IF($P431&gt;0,N(V430)+1,0)))</f>
        <v/>
      </c>
      <c r="W431" s="46" t="str">
        <f aca="false">IF($B431="","",IF($L431&lt;&gt;"청산",N(W430),IF($P431&lt;0,N(W430)+1,0)))</f>
        <v/>
      </c>
    </row>
    <row r="432" customFormat="false" ht="15" hidden="false" customHeight="false" outlineLevel="0" collapsed="false">
      <c r="A432" s="32" t="str">
        <f aca="false">IF($B432="","",ROW()-5)</f>
        <v/>
      </c>
      <c r="B432" s="48"/>
      <c r="C432" s="49"/>
      <c r="D432" s="50"/>
      <c r="E432" s="51"/>
      <c r="F432" s="52"/>
      <c r="G432" s="53"/>
      <c r="H432" s="50"/>
      <c r="I432" s="51"/>
      <c r="J432" s="53"/>
      <c r="K432" s="53"/>
      <c r="L432" s="39" t="str">
        <f aca="false">IF($B432="","",IF($H432="","보유중","청산"))</f>
        <v/>
      </c>
      <c r="M432" s="40" t="str">
        <f aca="false">IF($B432="","",$E432*$F432)</f>
        <v/>
      </c>
      <c r="N432" s="40" t="str">
        <f aca="false">IF($L432="청산",$I432*$F432,"")</f>
        <v/>
      </c>
      <c r="O432" s="40" t="str">
        <f aca="false">IF($B432="","",$G432+$J432+$K432)</f>
        <v/>
      </c>
      <c r="P432" s="41" t="str">
        <f aca="false">IF($L432="청산",$N432-$M432-$O432,"")</f>
        <v/>
      </c>
      <c r="Q432" s="42" t="str">
        <f aca="false">IF($L432="청산",IF($M432=0,"",$P432/$M432),"")</f>
        <v/>
      </c>
      <c r="R432" s="43" t="str">
        <f aca="true">IF($B432="","",IF($L432="청산",$H432-$D432,IF($D432="","",TODAY()-$D432)))</f>
        <v/>
      </c>
      <c r="S432" s="44" t="str">
        <f aca="false">IF($L432="청산",DATE(YEAR($H432),MONTH($H432),1),"")</f>
        <v/>
      </c>
      <c r="T432" s="48"/>
      <c r="U432" s="49"/>
      <c r="V432" s="46" t="str">
        <f aca="false">IF($B432="","",IF($L432&lt;&gt;"청산",N(V431),IF($P432&gt;0,N(V431)+1,0)))</f>
        <v/>
      </c>
      <c r="W432" s="46" t="str">
        <f aca="false">IF($B432="","",IF($L432&lt;&gt;"청산",N(W431),IF($P432&lt;0,N(W431)+1,0)))</f>
        <v/>
      </c>
    </row>
    <row r="433" customFormat="false" ht="15" hidden="false" customHeight="false" outlineLevel="0" collapsed="false">
      <c r="A433" s="32" t="str">
        <f aca="false">IF($B433="","",ROW()-5)</f>
        <v/>
      </c>
      <c r="B433" s="48"/>
      <c r="C433" s="49"/>
      <c r="D433" s="50"/>
      <c r="E433" s="51"/>
      <c r="F433" s="52"/>
      <c r="G433" s="53"/>
      <c r="H433" s="50"/>
      <c r="I433" s="51"/>
      <c r="J433" s="53"/>
      <c r="K433" s="53"/>
      <c r="L433" s="39" t="str">
        <f aca="false">IF($B433="","",IF($H433="","보유중","청산"))</f>
        <v/>
      </c>
      <c r="M433" s="40" t="str">
        <f aca="false">IF($B433="","",$E433*$F433)</f>
        <v/>
      </c>
      <c r="N433" s="40" t="str">
        <f aca="false">IF($L433="청산",$I433*$F433,"")</f>
        <v/>
      </c>
      <c r="O433" s="40" t="str">
        <f aca="false">IF($B433="","",$G433+$J433+$K433)</f>
        <v/>
      </c>
      <c r="P433" s="41" t="str">
        <f aca="false">IF($L433="청산",$N433-$M433-$O433,"")</f>
        <v/>
      </c>
      <c r="Q433" s="42" t="str">
        <f aca="false">IF($L433="청산",IF($M433=0,"",$P433/$M433),"")</f>
        <v/>
      </c>
      <c r="R433" s="43" t="str">
        <f aca="true">IF($B433="","",IF($L433="청산",$H433-$D433,IF($D433="","",TODAY()-$D433)))</f>
        <v/>
      </c>
      <c r="S433" s="44" t="str">
        <f aca="false">IF($L433="청산",DATE(YEAR($H433),MONTH($H433),1),"")</f>
        <v/>
      </c>
      <c r="T433" s="48"/>
      <c r="U433" s="49"/>
      <c r="V433" s="46" t="str">
        <f aca="false">IF($B433="","",IF($L433&lt;&gt;"청산",N(V432),IF($P433&gt;0,N(V432)+1,0)))</f>
        <v/>
      </c>
      <c r="W433" s="46" t="str">
        <f aca="false">IF($B433="","",IF($L433&lt;&gt;"청산",N(W432),IF($P433&lt;0,N(W432)+1,0)))</f>
        <v/>
      </c>
    </row>
    <row r="434" customFormat="false" ht="15" hidden="false" customHeight="false" outlineLevel="0" collapsed="false">
      <c r="A434" s="32" t="str">
        <f aca="false">IF($B434="","",ROW()-5)</f>
        <v/>
      </c>
      <c r="B434" s="48"/>
      <c r="C434" s="49"/>
      <c r="D434" s="50"/>
      <c r="E434" s="51"/>
      <c r="F434" s="52"/>
      <c r="G434" s="53"/>
      <c r="H434" s="50"/>
      <c r="I434" s="51"/>
      <c r="J434" s="53"/>
      <c r="K434" s="53"/>
      <c r="L434" s="39" t="str">
        <f aca="false">IF($B434="","",IF($H434="","보유중","청산"))</f>
        <v/>
      </c>
      <c r="M434" s="40" t="str">
        <f aca="false">IF($B434="","",$E434*$F434)</f>
        <v/>
      </c>
      <c r="N434" s="40" t="str">
        <f aca="false">IF($L434="청산",$I434*$F434,"")</f>
        <v/>
      </c>
      <c r="O434" s="40" t="str">
        <f aca="false">IF($B434="","",$G434+$J434+$K434)</f>
        <v/>
      </c>
      <c r="P434" s="41" t="str">
        <f aca="false">IF($L434="청산",$N434-$M434-$O434,"")</f>
        <v/>
      </c>
      <c r="Q434" s="42" t="str">
        <f aca="false">IF($L434="청산",IF($M434=0,"",$P434/$M434),"")</f>
        <v/>
      </c>
      <c r="R434" s="43" t="str">
        <f aca="true">IF($B434="","",IF($L434="청산",$H434-$D434,IF($D434="","",TODAY()-$D434)))</f>
        <v/>
      </c>
      <c r="S434" s="44" t="str">
        <f aca="false">IF($L434="청산",DATE(YEAR($H434),MONTH($H434),1),"")</f>
        <v/>
      </c>
      <c r="T434" s="48"/>
      <c r="U434" s="49"/>
      <c r="V434" s="46" t="str">
        <f aca="false">IF($B434="","",IF($L434&lt;&gt;"청산",N(V433),IF($P434&gt;0,N(V433)+1,0)))</f>
        <v/>
      </c>
      <c r="W434" s="46" t="str">
        <f aca="false">IF($B434="","",IF($L434&lt;&gt;"청산",N(W433),IF($P434&lt;0,N(W433)+1,0)))</f>
        <v/>
      </c>
    </row>
    <row r="435" customFormat="false" ht="15" hidden="false" customHeight="false" outlineLevel="0" collapsed="false">
      <c r="A435" s="32" t="str">
        <f aca="false">IF($B435="","",ROW()-5)</f>
        <v/>
      </c>
      <c r="B435" s="48"/>
      <c r="C435" s="49"/>
      <c r="D435" s="50"/>
      <c r="E435" s="51"/>
      <c r="F435" s="52"/>
      <c r="G435" s="53"/>
      <c r="H435" s="50"/>
      <c r="I435" s="51"/>
      <c r="J435" s="53"/>
      <c r="K435" s="53"/>
      <c r="L435" s="39" t="str">
        <f aca="false">IF($B435="","",IF($H435="","보유중","청산"))</f>
        <v/>
      </c>
      <c r="M435" s="40" t="str">
        <f aca="false">IF($B435="","",$E435*$F435)</f>
        <v/>
      </c>
      <c r="N435" s="40" t="str">
        <f aca="false">IF($L435="청산",$I435*$F435,"")</f>
        <v/>
      </c>
      <c r="O435" s="40" t="str">
        <f aca="false">IF($B435="","",$G435+$J435+$K435)</f>
        <v/>
      </c>
      <c r="P435" s="41" t="str">
        <f aca="false">IF($L435="청산",$N435-$M435-$O435,"")</f>
        <v/>
      </c>
      <c r="Q435" s="42" t="str">
        <f aca="false">IF($L435="청산",IF($M435=0,"",$P435/$M435),"")</f>
        <v/>
      </c>
      <c r="R435" s="43" t="str">
        <f aca="true">IF($B435="","",IF($L435="청산",$H435-$D435,IF($D435="","",TODAY()-$D435)))</f>
        <v/>
      </c>
      <c r="S435" s="44" t="str">
        <f aca="false">IF($L435="청산",DATE(YEAR($H435),MONTH($H435),1),"")</f>
        <v/>
      </c>
      <c r="T435" s="48"/>
      <c r="U435" s="49"/>
      <c r="V435" s="46" t="str">
        <f aca="false">IF($B435="","",IF($L435&lt;&gt;"청산",N(V434),IF($P435&gt;0,N(V434)+1,0)))</f>
        <v/>
      </c>
      <c r="W435" s="46" t="str">
        <f aca="false">IF($B435="","",IF($L435&lt;&gt;"청산",N(W434),IF($P435&lt;0,N(W434)+1,0)))</f>
        <v/>
      </c>
    </row>
    <row r="436" customFormat="false" ht="15" hidden="false" customHeight="false" outlineLevel="0" collapsed="false">
      <c r="A436" s="32" t="str">
        <f aca="false">IF($B436="","",ROW()-5)</f>
        <v/>
      </c>
      <c r="B436" s="48"/>
      <c r="C436" s="49"/>
      <c r="D436" s="50"/>
      <c r="E436" s="51"/>
      <c r="F436" s="52"/>
      <c r="G436" s="53"/>
      <c r="H436" s="50"/>
      <c r="I436" s="51"/>
      <c r="J436" s="53"/>
      <c r="K436" s="53"/>
      <c r="L436" s="39" t="str">
        <f aca="false">IF($B436="","",IF($H436="","보유중","청산"))</f>
        <v/>
      </c>
      <c r="M436" s="40" t="str">
        <f aca="false">IF($B436="","",$E436*$F436)</f>
        <v/>
      </c>
      <c r="N436" s="40" t="str">
        <f aca="false">IF($L436="청산",$I436*$F436,"")</f>
        <v/>
      </c>
      <c r="O436" s="40" t="str">
        <f aca="false">IF($B436="","",$G436+$J436+$K436)</f>
        <v/>
      </c>
      <c r="P436" s="41" t="str">
        <f aca="false">IF($L436="청산",$N436-$M436-$O436,"")</f>
        <v/>
      </c>
      <c r="Q436" s="42" t="str">
        <f aca="false">IF($L436="청산",IF($M436=0,"",$P436/$M436),"")</f>
        <v/>
      </c>
      <c r="R436" s="43" t="str">
        <f aca="true">IF($B436="","",IF($L436="청산",$H436-$D436,IF($D436="","",TODAY()-$D436)))</f>
        <v/>
      </c>
      <c r="S436" s="44" t="str">
        <f aca="false">IF($L436="청산",DATE(YEAR($H436),MONTH($H436),1),"")</f>
        <v/>
      </c>
      <c r="T436" s="48"/>
      <c r="U436" s="49"/>
      <c r="V436" s="46" t="str">
        <f aca="false">IF($B436="","",IF($L436&lt;&gt;"청산",N(V435),IF($P436&gt;0,N(V435)+1,0)))</f>
        <v/>
      </c>
      <c r="W436" s="46" t="str">
        <f aca="false">IF($B436="","",IF($L436&lt;&gt;"청산",N(W435),IF($P436&lt;0,N(W435)+1,0)))</f>
        <v/>
      </c>
    </row>
    <row r="437" customFormat="false" ht="15" hidden="false" customHeight="false" outlineLevel="0" collapsed="false">
      <c r="A437" s="32" t="str">
        <f aca="false">IF($B437="","",ROW()-5)</f>
        <v/>
      </c>
      <c r="B437" s="48"/>
      <c r="C437" s="49"/>
      <c r="D437" s="50"/>
      <c r="E437" s="51"/>
      <c r="F437" s="52"/>
      <c r="G437" s="53"/>
      <c r="H437" s="50"/>
      <c r="I437" s="51"/>
      <c r="J437" s="53"/>
      <c r="K437" s="53"/>
      <c r="L437" s="39" t="str">
        <f aca="false">IF($B437="","",IF($H437="","보유중","청산"))</f>
        <v/>
      </c>
      <c r="M437" s="40" t="str">
        <f aca="false">IF($B437="","",$E437*$F437)</f>
        <v/>
      </c>
      <c r="N437" s="40" t="str">
        <f aca="false">IF($L437="청산",$I437*$F437,"")</f>
        <v/>
      </c>
      <c r="O437" s="40" t="str">
        <f aca="false">IF($B437="","",$G437+$J437+$K437)</f>
        <v/>
      </c>
      <c r="P437" s="41" t="str">
        <f aca="false">IF($L437="청산",$N437-$M437-$O437,"")</f>
        <v/>
      </c>
      <c r="Q437" s="42" t="str">
        <f aca="false">IF($L437="청산",IF($M437=0,"",$P437/$M437),"")</f>
        <v/>
      </c>
      <c r="R437" s="43" t="str">
        <f aca="true">IF($B437="","",IF($L437="청산",$H437-$D437,IF($D437="","",TODAY()-$D437)))</f>
        <v/>
      </c>
      <c r="S437" s="44" t="str">
        <f aca="false">IF($L437="청산",DATE(YEAR($H437),MONTH($H437),1),"")</f>
        <v/>
      </c>
      <c r="T437" s="48"/>
      <c r="U437" s="49"/>
      <c r="V437" s="46" t="str">
        <f aca="false">IF($B437="","",IF($L437&lt;&gt;"청산",N(V436),IF($P437&gt;0,N(V436)+1,0)))</f>
        <v/>
      </c>
      <c r="W437" s="46" t="str">
        <f aca="false">IF($B437="","",IF($L437&lt;&gt;"청산",N(W436),IF($P437&lt;0,N(W436)+1,0)))</f>
        <v/>
      </c>
    </row>
    <row r="438" customFormat="false" ht="15" hidden="false" customHeight="false" outlineLevel="0" collapsed="false">
      <c r="A438" s="32" t="str">
        <f aca="false">IF($B438="","",ROW()-5)</f>
        <v/>
      </c>
      <c r="B438" s="48"/>
      <c r="C438" s="49"/>
      <c r="D438" s="50"/>
      <c r="E438" s="51"/>
      <c r="F438" s="52"/>
      <c r="G438" s="53"/>
      <c r="H438" s="50"/>
      <c r="I438" s="51"/>
      <c r="J438" s="53"/>
      <c r="K438" s="53"/>
      <c r="L438" s="39" t="str">
        <f aca="false">IF($B438="","",IF($H438="","보유중","청산"))</f>
        <v/>
      </c>
      <c r="M438" s="40" t="str">
        <f aca="false">IF($B438="","",$E438*$F438)</f>
        <v/>
      </c>
      <c r="N438" s="40" t="str">
        <f aca="false">IF($L438="청산",$I438*$F438,"")</f>
        <v/>
      </c>
      <c r="O438" s="40" t="str">
        <f aca="false">IF($B438="","",$G438+$J438+$K438)</f>
        <v/>
      </c>
      <c r="P438" s="41" t="str">
        <f aca="false">IF($L438="청산",$N438-$M438-$O438,"")</f>
        <v/>
      </c>
      <c r="Q438" s="42" t="str">
        <f aca="false">IF($L438="청산",IF($M438=0,"",$P438/$M438),"")</f>
        <v/>
      </c>
      <c r="R438" s="43" t="str">
        <f aca="true">IF($B438="","",IF($L438="청산",$H438-$D438,IF($D438="","",TODAY()-$D438)))</f>
        <v/>
      </c>
      <c r="S438" s="44" t="str">
        <f aca="false">IF($L438="청산",DATE(YEAR($H438),MONTH($H438),1),"")</f>
        <v/>
      </c>
      <c r="T438" s="48"/>
      <c r="U438" s="49"/>
      <c r="V438" s="46" t="str">
        <f aca="false">IF($B438="","",IF($L438&lt;&gt;"청산",N(V437),IF($P438&gt;0,N(V437)+1,0)))</f>
        <v/>
      </c>
      <c r="W438" s="46" t="str">
        <f aca="false">IF($B438="","",IF($L438&lt;&gt;"청산",N(W437),IF($P438&lt;0,N(W437)+1,0)))</f>
        <v/>
      </c>
    </row>
    <row r="439" customFormat="false" ht="15" hidden="false" customHeight="false" outlineLevel="0" collapsed="false">
      <c r="A439" s="32" t="str">
        <f aca="false">IF($B439="","",ROW()-5)</f>
        <v/>
      </c>
      <c r="B439" s="48"/>
      <c r="C439" s="49"/>
      <c r="D439" s="50"/>
      <c r="E439" s="51"/>
      <c r="F439" s="52"/>
      <c r="G439" s="53"/>
      <c r="H439" s="50"/>
      <c r="I439" s="51"/>
      <c r="J439" s="53"/>
      <c r="K439" s="53"/>
      <c r="L439" s="39" t="str">
        <f aca="false">IF($B439="","",IF($H439="","보유중","청산"))</f>
        <v/>
      </c>
      <c r="M439" s="40" t="str">
        <f aca="false">IF($B439="","",$E439*$F439)</f>
        <v/>
      </c>
      <c r="N439" s="40" t="str">
        <f aca="false">IF($L439="청산",$I439*$F439,"")</f>
        <v/>
      </c>
      <c r="O439" s="40" t="str">
        <f aca="false">IF($B439="","",$G439+$J439+$K439)</f>
        <v/>
      </c>
      <c r="P439" s="41" t="str">
        <f aca="false">IF($L439="청산",$N439-$M439-$O439,"")</f>
        <v/>
      </c>
      <c r="Q439" s="42" t="str">
        <f aca="false">IF($L439="청산",IF($M439=0,"",$P439/$M439),"")</f>
        <v/>
      </c>
      <c r="R439" s="43" t="str">
        <f aca="true">IF($B439="","",IF($L439="청산",$H439-$D439,IF($D439="","",TODAY()-$D439)))</f>
        <v/>
      </c>
      <c r="S439" s="44" t="str">
        <f aca="false">IF($L439="청산",DATE(YEAR($H439),MONTH($H439),1),"")</f>
        <v/>
      </c>
      <c r="T439" s="48"/>
      <c r="U439" s="49"/>
      <c r="V439" s="46" t="str">
        <f aca="false">IF($B439="","",IF($L439&lt;&gt;"청산",N(V438),IF($P439&gt;0,N(V438)+1,0)))</f>
        <v/>
      </c>
      <c r="W439" s="46" t="str">
        <f aca="false">IF($B439="","",IF($L439&lt;&gt;"청산",N(W438),IF($P439&lt;0,N(W438)+1,0)))</f>
        <v/>
      </c>
    </row>
    <row r="440" customFormat="false" ht="15" hidden="false" customHeight="false" outlineLevel="0" collapsed="false">
      <c r="A440" s="32" t="str">
        <f aca="false">IF($B440="","",ROW()-5)</f>
        <v/>
      </c>
      <c r="B440" s="48"/>
      <c r="C440" s="49"/>
      <c r="D440" s="50"/>
      <c r="E440" s="51"/>
      <c r="F440" s="52"/>
      <c r="G440" s="53"/>
      <c r="H440" s="50"/>
      <c r="I440" s="51"/>
      <c r="J440" s="53"/>
      <c r="K440" s="53"/>
      <c r="L440" s="39" t="str">
        <f aca="false">IF($B440="","",IF($H440="","보유중","청산"))</f>
        <v/>
      </c>
      <c r="M440" s="40" t="str">
        <f aca="false">IF($B440="","",$E440*$F440)</f>
        <v/>
      </c>
      <c r="N440" s="40" t="str">
        <f aca="false">IF($L440="청산",$I440*$F440,"")</f>
        <v/>
      </c>
      <c r="O440" s="40" t="str">
        <f aca="false">IF($B440="","",$G440+$J440+$K440)</f>
        <v/>
      </c>
      <c r="P440" s="41" t="str">
        <f aca="false">IF($L440="청산",$N440-$M440-$O440,"")</f>
        <v/>
      </c>
      <c r="Q440" s="42" t="str">
        <f aca="false">IF($L440="청산",IF($M440=0,"",$P440/$M440),"")</f>
        <v/>
      </c>
      <c r="R440" s="43" t="str">
        <f aca="true">IF($B440="","",IF($L440="청산",$H440-$D440,IF($D440="","",TODAY()-$D440)))</f>
        <v/>
      </c>
      <c r="S440" s="44" t="str">
        <f aca="false">IF($L440="청산",DATE(YEAR($H440),MONTH($H440),1),"")</f>
        <v/>
      </c>
      <c r="T440" s="48"/>
      <c r="U440" s="49"/>
      <c r="V440" s="46" t="str">
        <f aca="false">IF($B440="","",IF($L440&lt;&gt;"청산",N(V439),IF($P440&gt;0,N(V439)+1,0)))</f>
        <v/>
      </c>
      <c r="W440" s="46" t="str">
        <f aca="false">IF($B440="","",IF($L440&lt;&gt;"청산",N(W439),IF($P440&lt;0,N(W439)+1,0)))</f>
        <v/>
      </c>
    </row>
    <row r="441" customFormat="false" ht="15" hidden="false" customHeight="false" outlineLevel="0" collapsed="false">
      <c r="A441" s="32" t="str">
        <f aca="false">IF($B441="","",ROW()-5)</f>
        <v/>
      </c>
      <c r="B441" s="48"/>
      <c r="C441" s="49"/>
      <c r="D441" s="50"/>
      <c r="E441" s="51"/>
      <c r="F441" s="52"/>
      <c r="G441" s="53"/>
      <c r="H441" s="50"/>
      <c r="I441" s="51"/>
      <c r="J441" s="53"/>
      <c r="K441" s="53"/>
      <c r="L441" s="39" t="str">
        <f aca="false">IF($B441="","",IF($H441="","보유중","청산"))</f>
        <v/>
      </c>
      <c r="M441" s="40" t="str">
        <f aca="false">IF($B441="","",$E441*$F441)</f>
        <v/>
      </c>
      <c r="N441" s="40" t="str">
        <f aca="false">IF($L441="청산",$I441*$F441,"")</f>
        <v/>
      </c>
      <c r="O441" s="40" t="str">
        <f aca="false">IF($B441="","",$G441+$J441+$K441)</f>
        <v/>
      </c>
      <c r="P441" s="41" t="str">
        <f aca="false">IF($L441="청산",$N441-$M441-$O441,"")</f>
        <v/>
      </c>
      <c r="Q441" s="42" t="str">
        <f aca="false">IF($L441="청산",IF($M441=0,"",$P441/$M441),"")</f>
        <v/>
      </c>
      <c r="R441" s="43" t="str">
        <f aca="true">IF($B441="","",IF($L441="청산",$H441-$D441,IF($D441="","",TODAY()-$D441)))</f>
        <v/>
      </c>
      <c r="S441" s="44" t="str">
        <f aca="false">IF($L441="청산",DATE(YEAR($H441),MONTH($H441),1),"")</f>
        <v/>
      </c>
      <c r="T441" s="48"/>
      <c r="U441" s="49"/>
      <c r="V441" s="46" t="str">
        <f aca="false">IF($B441="","",IF($L441&lt;&gt;"청산",N(V440),IF($P441&gt;0,N(V440)+1,0)))</f>
        <v/>
      </c>
      <c r="W441" s="46" t="str">
        <f aca="false">IF($B441="","",IF($L441&lt;&gt;"청산",N(W440),IF($P441&lt;0,N(W440)+1,0)))</f>
        <v/>
      </c>
    </row>
    <row r="442" customFormat="false" ht="15" hidden="false" customHeight="false" outlineLevel="0" collapsed="false">
      <c r="A442" s="32" t="str">
        <f aca="false">IF($B442="","",ROW()-5)</f>
        <v/>
      </c>
      <c r="B442" s="48"/>
      <c r="C442" s="49"/>
      <c r="D442" s="50"/>
      <c r="E442" s="51"/>
      <c r="F442" s="52"/>
      <c r="G442" s="53"/>
      <c r="H442" s="50"/>
      <c r="I442" s="51"/>
      <c r="J442" s="53"/>
      <c r="K442" s="53"/>
      <c r="L442" s="39" t="str">
        <f aca="false">IF($B442="","",IF($H442="","보유중","청산"))</f>
        <v/>
      </c>
      <c r="M442" s="40" t="str">
        <f aca="false">IF($B442="","",$E442*$F442)</f>
        <v/>
      </c>
      <c r="N442" s="40" t="str">
        <f aca="false">IF($L442="청산",$I442*$F442,"")</f>
        <v/>
      </c>
      <c r="O442" s="40" t="str">
        <f aca="false">IF($B442="","",$G442+$J442+$K442)</f>
        <v/>
      </c>
      <c r="P442" s="41" t="str">
        <f aca="false">IF($L442="청산",$N442-$M442-$O442,"")</f>
        <v/>
      </c>
      <c r="Q442" s="42" t="str">
        <f aca="false">IF($L442="청산",IF($M442=0,"",$P442/$M442),"")</f>
        <v/>
      </c>
      <c r="R442" s="43" t="str">
        <f aca="true">IF($B442="","",IF($L442="청산",$H442-$D442,IF($D442="","",TODAY()-$D442)))</f>
        <v/>
      </c>
      <c r="S442" s="44" t="str">
        <f aca="false">IF($L442="청산",DATE(YEAR($H442),MONTH($H442),1),"")</f>
        <v/>
      </c>
      <c r="T442" s="48"/>
      <c r="U442" s="49"/>
      <c r="V442" s="46" t="str">
        <f aca="false">IF($B442="","",IF($L442&lt;&gt;"청산",N(V441),IF($P442&gt;0,N(V441)+1,0)))</f>
        <v/>
      </c>
      <c r="W442" s="46" t="str">
        <f aca="false">IF($B442="","",IF($L442&lt;&gt;"청산",N(W441),IF($P442&lt;0,N(W441)+1,0)))</f>
        <v/>
      </c>
    </row>
    <row r="443" customFormat="false" ht="15" hidden="false" customHeight="false" outlineLevel="0" collapsed="false">
      <c r="A443" s="32" t="str">
        <f aca="false">IF($B443="","",ROW()-5)</f>
        <v/>
      </c>
      <c r="B443" s="48"/>
      <c r="C443" s="49"/>
      <c r="D443" s="50"/>
      <c r="E443" s="51"/>
      <c r="F443" s="52"/>
      <c r="G443" s="53"/>
      <c r="H443" s="50"/>
      <c r="I443" s="51"/>
      <c r="J443" s="53"/>
      <c r="K443" s="53"/>
      <c r="L443" s="39" t="str">
        <f aca="false">IF($B443="","",IF($H443="","보유중","청산"))</f>
        <v/>
      </c>
      <c r="M443" s="40" t="str">
        <f aca="false">IF($B443="","",$E443*$F443)</f>
        <v/>
      </c>
      <c r="N443" s="40" t="str">
        <f aca="false">IF($L443="청산",$I443*$F443,"")</f>
        <v/>
      </c>
      <c r="O443" s="40" t="str">
        <f aca="false">IF($B443="","",$G443+$J443+$K443)</f>
        <v/>
      </c>
      <c r="P443" s="41" t="str">
        <f aca="false">IF($L443="청산",$N443-$M443-$O443,"")</f>
        <v/>
      </c>
      <c r="Q443" s="42" t="str">
        <f aca="false">IF($L443="청산",IF($M443=0,"",$P443/$M443),"")</f>
        <v/>
      </c>
      <c r="R443" s="43" t="str">
        <f aca="true">IF($B443="","",IF($L443="청산",$H443-$D443,IF($D443="","",TODAY()-$D443)))</f>
        <v/>
      </c>
      <c r="S443" s="44" t="str">
        <f aca="false">IF($L443="청산",DATE(YEAR($H443),MONTH($H443),1),"")</f>
        <v/>
      </c>
      <c r="T443" s="48"/>
      <c r="U443" s="49"/>
      <c r="V443" s="46" t="str">
        <f aca="false">IF($B443="","",IF($L443&lt;&gt;"청산",N(V442),IF($P443&gt;0,N(V442)+1,0)))</f>
        <v/>
      </c>
      <c r="W443" s="46" t="str">
        <f aca="false">IF($B443="","",IF($L443&lt;&gt;"청산",N(W442),IF($P443&lt;0,N(W442)+1,0)))</f>
        <v/>
      </c>
    </row>
    <row r="444" customFormat="false" ht="15" hidden="false" customHeight="false" outlineLevel="0" collapsed="false">
      <c r="A444" s="32" t="str">
        <f aca="false">IF($B444="","",ROW()-5)</f>
        <v/>
      </c>
      <c r="B444" s="48"/>
      <c r="C444" s="49"/>
      <c r="D444" s="50"/>
      <c r="E444" s="51"/>
      <c r="F444" s="52"/>
      <c r="G444" s="53"/>
      <c r="H444" s="50"/>
      <c r="I444" s="51"/>
      <c r="J444" s="53"/>
      <c r="K444" s="53"/>
      <c r="L444" s="39" t="str">
        <f aca="false">IF($B444="","",IF($H444="","보유중","청산"))</f>
        <v/>
      </c>
      <c r="M444" s="40" t="str">
        <f aca="false">IF($B444="","",$E444*$F444)</f>
        <v/>
      </c>
      <c r="N444" s="40" t="str">
        <f aca="false">IF($L444="청산",$I444*$F444,"")</f>
        <v/>
      </c>
      <c r="O444" s="40" t="str">
        <f aca="false">IF($B444="","",$G444+$J444+$K444)</f>
        <v/>
      </c>
      <c r="P444" s="41" t="str">
        <f aca="false">IF($L444="청산",$N444-$M444-$O444,"")</f>
        <v/>
      </c>
      <c r="Q444" s="42" t="str">
        <f aca="false">IF($L444="청산",IF($M444=0,"",$P444/$M444),"")</f>
        <v/>
      </c>
      <c r="R444" s="43" t="str">
        <f aca="true">IF($B444="","",IF($L444="청산",$H444-$D444,IF($D444="","",TODAY()-$D444)))</f>
        <v/>
      </c>
      <c r="S444" s="44" t="str">
        <f aca="false">IF($L444="청산",DATE(YEAR($H444),MONTH($H444),1),"")</f>
        <v/>
      </c>
      <c r="T444" s="48"/>
      <c r="U444" s="49"/>
      <c r="V444" s="46" t="str">
        <f aca="false">IF($B444="","",IF($L444&lt;&gt;"청산",N(V443),IF($P444&gt;0,N(V443)+1,0)))</f>
        <v/>
      </c>
      <c r="W444" s="46" t="str">
        <f aca="false">IF($B444="","",IF($L444&lt;&gt;"청산",N(W443),IF($P444&lt;0,N(W443)+1,0)))</f>
        <v/>
      </c>
    </row>
    <row r="445" customFormat="false" ht="15" hidden="false" customHeight="false" outlineLevel="0" collapsed="false">
      <c r="A445" s="32" t="str">
        <f aca="false">IF($B445="","",ROW()-5)</f>
        <v/>
      </c>
      <c r="B445" s="48"/>
      <c r="C445" s="49"/>
      <c r="D445" s="50"/>
      <c r="E445" s="51"/>
      <c r="F445" s="52"/>
      <c r="G445" s="53"/>
      <c r="H445" s="50"/>
      <c r="I445" s="51"/>
      <c r="J445" s="53"/>
      <c r="K445" s="53"/>
      <c r="L445" s="39" t="str">
        <f aca="false">IF($B445="","",IF($H445="","보유중","청산"))</f>
        <v/>
      </c>
      <c r="M445" s="40" t="str">
        <f aca="false">IF($B445="","",$E445*$F445)</f>
        <v/>
      </c>
      <c r="N445" s="40" t="str">
        <f aca="false">IF($L445="청산",$I445*$F445,"")</f>
        <v/>
      </c>
      <c r="O445" s="40" t="str">
        <f aca="false">IF($B445="","",$G445+$J445+$K445)</f>
        <v/>
      </c>
      <c r="P445" s="41" t="str">
        <f aca="false">IF($L445="청산",$N445-$M445-$O445,"")</f>
        <v/>
      </c>
      <c r="Q445" s="42" t="str">
        <f aca="false">IF($L445="청산",IF($M445=0,"",$P445/$M445),"")</f>
        <v/>
      </c>
      <c r="R445" s="43" t="str">
        <f aca="true">IF($B445="","",IF($L445="청산",$H445-$D445,IF($D445="","",TODAY()-$D445)))</f>
        <v/>
      </c>
      <c r="S445" s="44" t="str">
        <f aca="false">IF($L445="청산",DATE(YEAR($H445),MONTH($H445),1),"")</f>
        <v/>
      </c>
      <c r="T445" s="48"/>
      <c r="U445" s="49"/>
      <c r="V445" s="46" t="str">
        <f aca="false">IF($B445="","",IF($L445&lt;&gt;"청산",N(V444),IF($P445&gt;0,N(V444)+1,0)))</f>
        <v/>
      </c>
      <c r="W445" s="46" t="str">
        <f aca="false">IF($B445="","",IF($L445&lt;&gt;"청산",N(W444),IF($P445&lt;0,N(W444)+1,0)))</f>
        <v/>
      </c>
    </row>
    <row r="446" customFormat="false" ht="15" hidden="false" customHeight="false" outlineLevel="0" collapsed="false">
      <c r="A446" s="32" t="str">
        <f aca="false">IF($B446="","",ROW()-5)</f>
        <v/>
      </c>
      <c r="B446" s="48"/>
      <c r="C446" s="49"/>
      <c r="D446" s="50"/>
      <c r="E446" s="51"/>
      <c r="F446" s="52"/>
      <c r="G446" s="53"/>
      <c r="H446" s="50"/>
      <c r="I446" s="51"/>
      <c r="J446" s="53"/>
      <c r="K446" s="53"/>
      <c r="L446" s="39" t="str">
        <f aca="false">IF($B446="","",IF($H446="","보유중","청산"))</f>
        <v/>
      </c>
      <c r="M446" s="40" t="str">
        <f aca="false">IF($B446="","",$E446*$F446)</f>
        <v/>
      </c>
      <c r="N446" s="40" t="str">
        <f aca="false">IF($L446="청산",$I446*$F446,"")</f>
        <v/>
      </c>
      <c r="O446" s="40" t="str">
        <f aca="false">IF($B446="","",$G446+$J446+$K446)</f>
        <v/>
      </c>
      <c r="P446" s="41" t="str">
        <f aca="false">IF($L446="청산",$N446-$M446-$O446,"")</f>
        <v/>
      </c>
      <c r="Q446" s="42" t="str">
        <f aca="false">IF($L446="청산",IF($M446=0,"",$P446/$M446),"")</f>
        <v/>
      </c>
      <c r="R446" s="43" t="str">
        <f aca="true">IF($B446="","",IF($L446="청산",$H446-$D446,IF($D446="","",TODAY()-$D446)))</f>
        <v/>
      </c>
      <c r="S446" s="44" t="str">
        <f aca="false">IF($L446="청산",DATE(YEAR($H446),MONTH($H446),1),"")</f>
        <v/>
      </c>
      <c r="T446" s="48"/>
      <c r="U446" s="49"/>
      <c r="V446" s="46" t="str">
        <f aca="false">IF($B446="","",IF($L446&lt;&gt;"청산",N(V445),IF($P446&gt;0,N(V445)+1,0)))</f>
        <v/>
      </c>
      <c r="W446" s="46" t="str">
        <f aca="false">IF($B446="","",IF($L446&lt;&gt;"청산",N(W445),IF($P446&lt;0,N(W445)+1,0)))</f>
        <v/>
      </c>
    </row>
    <row r="447" customFormat="false" ht="15" hidden="false" customHeight="false" outlineLevel="0" collapsed="false">
      <c r="A447" s="32" t="str">
        <f aca="false">IF($B447="","",ROW()-5)</f>
        <v/>
      </c>
      <c r="B447" s="48"/>
      <c r="C447" s="49"/>
      <c r="D447" s="50"/>
      <c r="E447" s="51"/>
      <c r="F447" s="52"/>
      <c r="G447" s="53"/>
      <c r="H447" s="50"/>
      <c r="I447" s="51"/>
      <c r="J447" s="53"/>
      <c r="K447" s="53"/>
      <c r="L447" s="39" t="str">
        <f aca="false">IF($B447="","",IF($H447="","보유중","청산"))</f>
        <v/>
      </c>
      <c r="M447" s="40" t="str">
        <f aca="false">IF($B447="","",$E447*$F447)</f>
        <v/>
      </c>
      <c r="N447" s="40" t="str">
        <f aca="false">IF($L447="청산",$I447*$F447,"")</f>
        <v/>
      </c>
      <c r="O447" s="40" t="str">
        <f aca="false">IF($B447="","",$G447+$J447+$K447)</f>
        <v/>
      </c>
      <c r="P447" s="41" t="str">
        <f aca="false">IF($L447="청산",$N447-$M447-$O447,"")</f>
        <v/>
      </c>
      <c r="Q447" s="42" t="str">
        <f aca="false">IF($L447="청산",IF($M447=0,"",$P447/$M447),"")</f>
        <v/>
      </c>
      <c r="R447" s="43" t="str">
        <f aca="true">IF($B447="","",IF($L447="청산",$H447-$D447,IF($D447="","",TODAY()-$D447)))</f>
        <v/>
      </c>
      <c r="S447" s="44" t="str">
        <f aca="false">IF($L447="청산",DATE(YEAR($H447),MONTH($H447),1),"")</f>
        <v/>
      </c>
      <c r="T447" s="48"/>
      <c r="U447" s="49"/>
      <c r="V447" s="46" t="str">
        <f aca="false">IF($B447="","",IF($L447&lt;&gt;"청산",N(V446),IF($P447&gt;0,N(V446)+1,0)))</f>
        <v/>
      </c>
      <c r="W447" s="46" t="str">
        <f aca="false">IF($B447="","",IF($L447&lt;&gt;"청산",N(W446),IF($P447&lt;0,N(W446)+1,0)))</f>
        <v/>
      </c>
    </row>
    <row r="448" customFormat="false" ht="15" hidden="false" customHeight="false" outlineLevel="0" collapsed="false">
      <c r="A448" s="32" t="str">
        <f aca="false">IF($B448="","",ROW()-5)</f>
        <v/>
      </c>
      <c r="B448" s="48"/>
      <c r="C448" s="49"/>
      <c r="D448" s="50"/>
      <c r="E448" s="51"/>
      <c r="F448" s="52"/>
      <c r="G448" s="53"/>
      <c r="H448" s="50"/>
      <c r="I448" s="51"/>
      <c r="J448" s="53"/>
      <c r="K448" s="53"/>
      <c r="L448" s="39" t="str">
        <f aca="false">IF($B448="","",IF($H448="","보유중","청산"))</f>
        <v/>
      </c>
      <c r="M448" s="40" t="str">
        <f aca="false">IF($B448="","",$E448*$F448)</f>
        <v/>
      </c>
      <c r="N448" s="40" t="str">
        <f aca="false">IF($L448="청산",$I448*$F448,"")</f>
        <v/>
      </c>
      <c r="O448" s="40" t="str">
        <f aca="false">IF($B448="","",$G448+$J448+$K448)</f>
        <v/>
      </c>
      <c r="P448" s="41" t="str">
        <f aca="false">IF($L448="청산",$N448-$M448-$O448,"")</f>
        <v/>
      </c>
      <c r="Q448" s="42" t="str">
        <f aca="false">IF($L448="청산",IF($M448=0,"",$P448/$M448),"")</f>
        <v/>
      </c>
      <c r="R448" s="43" t="str">
        <f aca="true">IF($B448="","",IF($L448="청산",$H448-$D448,IF($D448="","",TODAY()-$D448)))</f>
        <v/>
      </c>
      <c r="S448" s="44" t="str">
        <f aca="false">IF($L448="청산",DATE(YEAR($H448),MONTH($H448),1),"")</f>
        <v/>
      </c>
      <c r="T448" s="48"/>
      <c r="U448" s="49"/>
      <c r="V448" s="46" t="str">
        <f aca="false">IF($B448="","",IF($L448&lt;&gt;"청산",N(V447),IF($P448&gt;0,N(V447)+1,0)))</f>
        <v/>
      </c>
      <c r="W448" s="46" t="str">
        <f aca="false">IF($B448="","",IF($L448&lt;&gt;"청산",N(W447),IF($P448&lt;0,N(W447)+1,0)))</f>
        <v/>
      </c>
    </row>
    <row r="449" customFormat="false" ht="15" hidden="false" customHeight="false" outlineLevel="0" collapsed="false">
      <c r="A449" s="32" t="str">
        <f aca="false">IF($B449="","",ROW()-5)</f>
        <v/>
      </c>
      <c r="B449" s="48"/>
      <c r="C449" s="49"/>
      <c r="D449" s="50"/>
      <c r="E449" s="51"/>
      <c r="F449" s="52"/>
      <c r="G449" s="53"/>
      <c r="H449" s="50"/>
      <c r="I449" s="51"/>
      <c r="J449" s="53"/>
      <c r="K449" s="53"/>
      <c r="L449" s="39" t="str">
        <f aca="false">IF($B449="","",IF($H449="","보유중","청산"))</f>
        <v/>
      </c>
      <c r="M449" s="40" t="str">
        <f aca="false">IF($B449="","",$E449*$F449)</f>
        <v/>
      </c>
      <c r="N449" s="40" t="str">
        <f aca="false">IF($L449="청산",$I449*$F449,"")</f>
        <v/>
      </c>
      <c r="O449" s="40" t="str">
        <f aca="false">IF($B449="","",$G449+$J449+$K449)</f>
        <v/>
      </c>
      <c r="P449" s="41" t="str">
        <f aca="false">IF($L449="청산",$N449-$M449-$O449,"")</f>
        <v/>
      </c>
      <c r="Q449" s="42" t="str">
        <f aca="false">IF($L449="청산",IF($M449=0,"",$P449/$M449),"")</f>
        <v/>
      </c>
      <c r="R449" s="43" t="str">
        <f aca="true">IF($B449="","",IF($L449="청산",$H449-$D449,IF($D449="","",TODAY()-$D449)))</f>
        <v/>
      </c>
      <c r="S449" s="44" t="str">
        <f aca="false">IF($L449="청산",DATE(YEAR($H449),MONTH($H449),1),"")</f>
        <v/>
      </c>
      <c r="T449" s="48"/>
      <c r="U449" s="49"/>
      <c r="V449" s="46" t="str">
        <f aca="false">IF($B449="","",IF($L449&lt;&gt;"청산",N(V448),IF($P449&gt;0,N(V448)+1,0)))</f>
        <v/>
      </c>
      <c r="W449" s="46" t="str">
        <f aca="false">IF($B449="","",IF($L449&lt;&gt;"청산",N(W448),IF($P449&lt;0,N(W448)+1,0)))</f>
        <v/>
      </c>
    </row>
    <row r="450" customFormat="false" ht="15" hidden="false" customHeight="false" outlineLevel="0" collapsed="false">
      <c r="A450" s="32" t="str">
        <f aca="false">IF($B450="","",ROW()-5)</f>
        <v/>
      </c>
      <c r="B450" s="48"/>
      <c r="C450" s="49"/>
      <c r="D450" s="50"/>
      <c r="E450" s="51"/>
      <c r="F450" s="52"/>
      <c r="G450" s="53"/>
      <c r="H450" s="50"/>
      <c r="I450" s="51"/>
      <c r="J450" s="53"/>
      <c r="K450" s="53"/>
      <c r="L450" s="39" t="str">
        <f aca="false">IF($B450="","",IF($H450="","보유중","청산"))</f>
        <v/>
      </c>
      <c r="M450" s="40" t="str">
        <f aca="false">IF($B450="","",$E450*$F450)</f>
        <v/>
      </c>
      <c r="N450" s="40" t="str">
        <f aca="false">IF($L450="청산",$I450*$F450,"")</f>
        <v/>
      </c>
      <c r="O450" s="40" t="str">
        <f aca="false">IF($B450="","",$G450+$J450+$K450)</f>
        <v/>
      </c>
      <c r="P450" s="41" t="str">
        <f aca="false">IF($L450="청산",$N450-$M450-$O450,"")</f>
        <v/>
      </c>
      <c r="Q450" s="42" t="str">
        <f aca="false">IF($L450="청산",IF($M450=0,"",$P450/$M450),"")</f>
        <v/>
      </c>
      <c r="R450" s="43" t="str">
        <f aca="true">IF($B450="","",IF($L450="청산",$H450-$D450,IF($D450="","",TODAY()-$D450)))</f>
        <v/>
      </c>
      <c r="S450" s="44" t="str">
        <f aca="false">IF($L450="청산",DATE(YEAR($H450),MONTH($H450),1),"")</f>
        <v/>
      </c>
      <c r="T450" s="48"/>
      <c r="U450" s="49"/>
      <c r="V450" s="46" t="str">
        <f aca="false">IF($B450="","",IF($L450&lt;&gt;"청산",N(V449),IF($P450&gt;0,N(V449)+1,0)))</f>
        <v/>
      </c>
      <c r="W450" s="46" t="str">
        <f aca="false">IF($B450="","",IF($L450&lt;&gt;"청산",N(W449),IF($P450&lt;0,N(W449)+1,0)))</f>
        <v/>
      </c>
    </row>
    <row r="451" customFormat="false" ht="15" hidden="false" customHeight="false" outlineLevel="0" collapsed="false">
      <c r="A451" s="32" t="str">
        <f aca="false">IF($B451="","",ROW()-5)</f>
        <v/>
      </c>
      <c r="B451" s="48"/>
      <c r="C451" s="49"/>
      <c r="D451" s="50"/>
      <c r="E451" s="51"/>
      <c r="F451" s="52"/>
      <c r="G451" s="53"/>
      <c r="H451" s="50"/>
      <c r="I451" s="51"/>
      <c r="J451" s="53"/>
      <c r="K451" s="53"/>
      <c r="L451" s="39" t="str">
        <f aca="false">IF($B451="","",IF($H451="","보유중","청산"))</f>
        <v/>
      </c>
      <c r="M451" s="40" t="str">
        <f aca="false">IF($B451="","",$E451*$F451)</f>
        <v/>
      </c>
      <c r="N451" s="40" t="str">
        <f aca="false">IF($L451="청산",$I451*$F451,"")</f>
        <v/>
      </c>
      <c r="O451" s="40" t="str">
        <f aca="false">IF($B451="","",$G451+$J451+$K451)</f>
        <v/>
      </c>
      <c r="P451" s="41" t="str">
        <f aca="false">IF($L451="청산",$N451-$M451-$O451,"")</f>
        <v/>
      </c>
      <c r="Q451" s="42" t="str">
        <f aca="false">IF($L451="청산",IF($M451=0,"",$P451/$M451),"")</f>
        <v/>
      </c>
      <c r="R451" s="43" t="str">
        <f aca="true">IF($B451="","",IF($L451="청산",$H451-$D451,IF($D451="","",TODAY()-$D451)))</f>
        <v/>
      </c>
      <c r="S451" s="44" t="str">
        <f aca="false">IF($L451="청산",DATE(YEAR($H451),MONTH($H451),1),"")</f>
        <v/>
      </c>
      <c r="T451" s="48"/>
      <c r="U451" s="49"/>
      <c r="V451" s="46" t="str">
        <f aca="false">IF($B451="","",IF($L451&lt;&gt;"청산",N(V450),IF($P451&gt;0,N(V450)+1,0)))</f>
        <v/>
      </c>
      <c r="W451" s="46" t="str">
        <f aca="false">IF($B451="","",IF($L451&lt;&gt;"청산",N(W450),IF($P451&lt;0,N(W450)+1,0)))</f>
        <v/>
      </c>
    </row>
    <row r="452" customFormat="false" ht="15" hidden="false" customHeight="false" outlineLevel="0" collapsed="false">
      <c r="A452" s="32" t="str">
        <f aca="false">IF($B452="","",ROW()-5)</f>
        <v/>
      </c>
      <c r="B452" s="48"/>
      <c r="C452" s="49"/>
      <c r="D452" s="50"/>
      <c r="E452" s="51"/>
      <c r="F452" s="52"/>
      <c r="G452" s="53"/>
      <c r="H452" s="50"/>
      <c r="I452" s="51"/>
      <c r="J452" s="53"/>
      <c r="K452" s="53"/>
      <c r="L452" s="39" t="str">
        <f aca="false">IF($B452="","",IF($H452="","보유중","청산"))</f>
        <v/>
      </c>
      <c r="M452" s="40" t="str">
        <f aca="false">IF($B452="","",$E452*$F452)</f>
        <v/>
      </c>
      <c r="N452" s="40" t="str">
        <f aca="false">IF($L452="청산",$I452*$F452,"")</f>
        <v/>
      </c>
      <c r="O452" s="40" t="str">
        <f aca="false">IF($B452="","",$G452+$J452+$K452)</f>
        <v/>
      </c>
      <c r="P452" s="41" t="str">
        <f aca="false">IF($L452="청산",$N452-$M452-$O452,"")</f>
        <v/>
      </c>
      <c r="Q452" s="42" t="str">
        <f aca="false">IF($L452="청산",IF($M452=0,"",$P452/$M452),"")</f>
        <v/>
      </c>
      <c r="R452" s="43" t="str">
        <f aca="true">IF($B452="","",IF($L452="청산",$H452-$D452,IF($D452="","",TODAY()-$D452)))</f>
        <v/>
      </c>
      <c r="S452" s="44" t="str">
        <f aca="false">IF($L452="청산",DATE(YEAR($H452),MONTH($H452),1),"")</f>
        <v/>
      </c>
      <c r="T452" s="48"/>
      <c r="U452" s="49"/>
      <c r="V452" s="46" t="str">
        <f aca="false">IF($B452="","",IF($L452&lt;&gt;"청산",N(V451),IF($P452&gt;0,N(V451)+1,0)))</f>
        <v/>
      </c>
      <c r="W452" s="46" t="str">
        <f aca="false">IF($B452="","",IF($L452&lt;&gt;"청산",N(W451),IF($P452&lt;0,N(W451)+1,0)))</f>
        <v/>
      </c>
    </row>
    <row r="453" customFormat="false" ht="15" hidden="false" customHeight="false" outlineLevel="0" collapsed="false">
      <c r="A453" s="32" t="str">
        <f aca="false">IF($B453="","",ROW()-5)</f>
        <v/>
      </c>
      <c r="B453" s="48"/>
      <c r="C453" s="49"/>
      <c r="D453" s="50"/>
      <c r="E453" s="51"/>
      <c r="F453" s="52"/>
      <c r="G453" s="53"/>
      <c r="H453" s="50"/>
      <c r="I453" s="51"/>
      <c r="J453" s="53"/>
      <c r="K453" s="53"/>
      <c r="L453" s="39" t="str">
        <f aca="false">IF($B453="","",IF($H453="","보유중","청산"))</f>
        <v/>
      </c>
      <c r="M453" s="40" t="str">
        <f aca="false">IF($B453="","",$E453*$F453)</f>
        <v/>
      </c>
      <c r="N453" s="40" t="str">
        <f aca="false">IF($L453="청산",$I453*$F453,"")</f>
        <v/>
      </c>
      <c r="O453" s="40" t="str">
        <f aca="false">IF($B453="","",$G453+$J453+$K453)</f>
        <v/>
      </c>
      <c r="P453" s="41" t="str">
        <f aca="false">IF($L453="청산",$N453-$M453-$O453,"")</f>
        <v/>
      </c>
      <c r="Q453" s="42" t="str">
        <f aca="false">IF($L453="청산",IF($M453=0,"",$P453/$M453),"")</f>
        <v/>
      </c>
      <c r="R453" s="43" t="str">
        <f aca="true">IF($B453="","",IF($L453="청산",$H453-$D453,IF($D453="","",TODAY()-$D453)))</f>
        <v/>
      </c>
      <c r="S453" s="44" t="str">
        <f aca="false">IF($L453="청산",DATE(YEAR($H453),MONTH($H453),1),"")</f>
        <v/>
      </c>
      <c r="T453" s="48"/>
      <c r="U453" s="49"/>
      <c r="V453" s="46" t="str">
        <f aca="false">IF($B453="","",IF($L453&lt;&gt;"청산",N(V452),IF($P453&gt;0,N(V452)+1,0)))</f>
        <v/>
      </c>
      <c r="W453" s="46" t="str">
        <f aca="false">IF($B453="","",IF($L453&lt;&gt;"청산",N(W452),IF($P453&lt;0,N(W452)+1,0)))</f>
        <v/>
      </c>
    </row>
    <row r="454" customFormat="false" ht="15" hidden="false" customHeight="false" outlineLevel="0" collapsed="false">
      <c r="A454" s="32" t="str">
        <f aca="false">IF($B454="","",ROW()-5)</f>
        <v/>
      </c>
      <c r="B454" s="48"/>
      <c r="C454" s="49"/>
      <c r="D454" s="50"/>
      <c r="E454" s="51"/>
      <c r="F454" s="52"/>
      <c r="G454" s="53"/>
      <c r="H454" s="50"/>
      <c r="I454" s="51"/>
      <c r="J454" s="53"/>
      <c r="K454" s="53"/>
      <c r="L454" s="39" t="str">
        <f aca="false">IF($B454="","",IF($H454="","보유중","청산"))</f>
        <v/>
      </c>
      <c r="M454" s="40" t="str">
        <f aca="false">IF($B454="","",$E454*$F454)</f>
        <v/>
      </c>
      <c r="N454" s="40" t="str">
        <f aca="false">IF($L454="청산",$I454*$F454,"")</f>
        <v/>
      </c>
      <c r="O454" s="40" t="str">
        <f aca="false">IF($B454="","",$G454+$J454+$K454)</f>
        <v/>
      </c>
      <c r="P454" s="41" t="str">
        <f aca="false">IF($L454="청산",$N454-$M454-$O454,"")</f>
        <v/>
      </c>
      <c r="Q454" s="42" t="str">
        <f aca="false">IF($L454="청산",IF($M454=0,"",$P454/$M454),"")</f>
        <v/>
      </c>
      <c r="R454" s="43" t="str">
        <f aca="true">IF($B454="","",IF($L454="청산",$H454-$D454,IF($D454="","",TODAY()-$D454)))</f>
        <v/>
      </c>
      <c r="S454" s="44" t="str">
        <f aca="false">IF($L454="청산",DATE(YEAR($H454),MONTH($H454),1),"")</f>
        <v/>
      </c>
      <c r="T454" s="48"/>
      <c r="U454" s="49"/>
      <c r="V454" s="46" t="str">
        <f aca="false">IF($B454="","",IF($L454&lt;&gt;"청산",N(V453),IF($P454&gt;0,N(V453)+1,0)))</f>
        <v/>
      </c>
      <c r="W454" s="46" t="str">
        <f aca="false">IF($B454="","",IF($L454&lt;&gt;"청산",N(W453),IF($P454&lt;0,N(W453)+1,0)))</f>
        <v/>
      </c>
    </row>
    <row r="455" customFormat="false" ht="15" hidden="false" customHeight="false" outlineLevel="0" collapsed="false">
      <c r="A455" s="32" t="str">
        <f aca="false">IF($B455="","",ROW()-5)</f>
        <v/>
      </c>
      <c r="B455" s="48"/>
      <c r="C455" s="49"/>
      <c r="D455" s="50"/>
      <c r="E455" s="51"/>
      <c r="F455" s="52"/>
      <c r="G455" s="53"/>
      <c r="H455" s="50"/>
      <c r="I455" s="51"/>
      <c r="J455" s="53"/>
      <c r="K455" s="53"/>
      <c r="L455" s="39" t="str">
        <f aca="false">IF($B455="","",IF($H455="","보유중","청산"))</f>
        <v/>
      </c>
      <c r="M455" s="40" t="str">
        <f aca="false">IF($B455="","",$E455*$F455)</f>
        <v/>
      </c>
      <c r="N455" s="40" t="str">
        <f aca="false">IF($L455="청산",$I455*$F455,"")</f>
        <v/>
      </c>
      <c r="O455" s="40" t="str">
        <f aca="false">IF($B455="","",$G455+$J455+$K455)</f>
        <v/>
      </c>
      <c r="P455" s="41" t="str">
        <f aca="false">IF($L455="청산",$N455-$M455-$O455,"")</f>
        <v/>
      </c>
      <c r="Q455" s="42" t="str">
        <f aca="false">IF($L455="청산",IF($M455=0,"",$P455/$M455),"")</f>
        <v/>
      </c>
      <c r="R455" s="43" t="str">
        <f aca="true">IF($B455="","",IF($L455="청산",$H455-$D455,IF($D455="","",TODAY()-$D455)))</f>
        <v/>
      </c>
      <c r="S455" s="44" t="str">
        <f aca="false">IF($L455="청산",DATE(YEAR($H455),MONTH($H455),1),"")</f>
        <v/>
      </c>
      <c r="T455" s="48"/>
      <c r="U455" s="49"/>
      <c r="V455" s="46" t="str">
        <f aca="false">IF($B455="","",IF($L455&lt;&gt;"청산",N(V454),IF($P455&gt;0,N(V454)+1,0)))</f>
        <v/>
      </c>
      <c r="W455" s="46" t="str">
        <f aca="false">IF($B455="","",IF($L455&lt;&gt;"청산",N(W454),IF($P455&lt;0,N(W454)+1,0)))</f>
        <v/>
      </c>
    </row>
    <row r="456" customFormat="false" ht="15" hidden="false" customHeight="false" outlineLevel="0" collapsed="false">
      <c r="A456" s="32" t="str">
        <f aca="false">IF($B456="","",ROW()-5)</f>
        <v/>
      </c>
      <c r="B456" s="48"/>
      <c r="C456" s="49"/>
      <c r="D456" s="50"/>
      <c r="E456" s="51"/>
      <c r="F456" s="52"/>
      <c r="G456" s="53"/>
      <c r="H456" s="50"/>
      <c r="I456" s="51"/>
      <c r="J456" s="53"/>
      <c r="K456" s="53"/>
      <c r="L456" s="39" t="str">
        <f aca="false">IF($B456="","",IF($H456="","보유중","청산"))</f>
        <v/>
      </c>
      <c r="M456" s="40" t="str">
        <f aca="false">IF($B456="","",$E456*$F456)</f>
        <v/>
      </c>
      <c r="N456" s="40" t="str">
        <f aca="false">IF($L456="청산",$I456*$F456,"")</f>
        <v/>
      </c>
      <c r="O456" s="40" t="str">
        <f aca="false">IF($B456="","",$G456+$J456+$K456)</f>
        <v/>
      </c>
      <c r="P456" s="41" t="str">
        <f aca="false">IF($L456="청산",$N456-$M456-$O456,"")</f>
        <v/>
      </c>
      <c r="Q456" s="42" t="str">
        <f aca="false">IF($L456="청산",IF($M456=0,"",$P456/$M456),"")</f>
        <v/>
      </c>
      <c r="R456" s="43" t="str">
        <f aca="true">IF($B456="","",IF($L456="청산",$H456-$D456,IF($D456="","",TODAY()-$D456)))</f>
        <v/>
      </c>
      <c r="S456" s="44" t="str">
        <f aca="false">IF($L456="청산",DATE(YEAR($H456),MONTH($H456),1),"")</f>
        <v/>
      </c>
      <c r="T456" s="48"/>
      <c r="U456" s="49"/>
      <c r="V456" s="46" t="str">
        <f aca="false">IF($B456="","",IF($L456&lt;&gt;"청산",N(V455),IF($P456&gt;0,N(V455)+1,0)))</f>
        <v/>
      </c>
      <c r="W456" s="46" t="str">
        <f aca="false">IF($B456="","",IF($L456&lt;&gt;"청산",N(W455),IF($P456&lt;0,N(W455)+1,0)))</f>
        <v/>
      </c>
    </row>
    <row r="457" customFormat="false" ht="15" hidden="false" customHeight="false" outlineLevel="0" collapsed="false">
      <c r="A457" s="32" t="str">
        <f aca="false">IF($B457="","",ROW()-5)</f>
        <v/>
      </c>
      <c r="B457" s="48"/>
      <c r="C457" s="49"/>
      <c r="D457" s="50"/>
      <c r="E457" s="51"/>
      <c r="F457" s="52"/>
      <c r="G457" s="53"/>
      <c r="H457" s="50"/>
      <c r="I457" s="51"/>
      <c r="J457" s="53"/>
      <c r="K457" s="53"/>
      <c r="L457" s="39" t="str">
        <f aca="false">IF($B457="","",IF($H457="","보유중","청산"))</f>
        <v/>
      </c>
      <c r="M457" s="40" t="str">
        <f aca="false">IF($B457="","",$E457*$F457)</f>
        <v/>
      </c>
      <c r="N457" s="40" t="str">
        <f aca="false">IF($L457="청산",$I457*$F457,"")</f>
        <v/>
      </c>
      <c r="O457" s="40" t="str">
        <f aca="false">IF($B457="","",$G457+$J457+$K457)</f>
        <v/>
      </c>
      <c r="P457" s="41" t="str">
        <f aca="false">IF($L457="청산",$N457-$M457-$O457,"")</f>
        <v/>
      </c>
      <c r="Q457" s="42" t="str">
        <f aca="false">IF($L457="청산",IF($M457=0,"",$P457/$M457),"")</f>
        <v/>
      </c>
      <c r="R457" s="43" t="str">
        <f aca="true">IF($B457="","",IF($L457="청산",$H457-$D457,IF($D457="","",TODAY()-$D457)))</f>
        <v/>
      </c>
      <c r="S457" s="44" t="str">
        <f aca="false">IF($L457="청산",DATE(YEAR($H457),MONTH($H457),1),"")</f>
        <v/>
      </c>
      <c r="T457" s="48"/>
      <c r="U457" s="49"/>
      <c r="V457" s="46" t="str">
        <f aca="false">IF($B457="","",IF($L457&lt;&gt;"청산",N(V456),IF($P457&gt;0,N(V456)+1,0)))</f>
        <v/>
      </c>
      <c r="W457" s="46" t="str">
        <f aca="false">IF($B457="","",IF($L457&lt;&gt;"청산",N(W456),IF($P457&lt;0,N(W456)+1,0)))</f>
        <v/>
      </c>
    </row>
    <row r="458" customFormat="false" ht="15" hidden="false" customHeight="false" outlineLevel="0" collapsed="false">
      <c r="A458" s="32" t="str">
        <f aca="false">IF($B458="","",ROW()-5)</f>
        <v/>
      </c>
      <c r="B458" s="48"/>
      <c r="C458" s="49"/>
      <c r="D458" s="50"/>
      <c r="E458" s="51"/>
      <c r="F458" s="52"/>
      <c r="G458" s="53"/>
      <c r="H458" s="50"/>
      <c r="I458" s="51"/>
      <c r="J458" s="53"/>
      <c r="K458" s="53"/>
      <c r="L458" s="39" t="str">
        <f aca="false">IF($B458="","",IF($H458="","보유중","청산"))</f>
        <v/>
      </c>
      <c r="M458" s="40" t="str">
        <f aca="false">IF($B458="","",$E458*$F458)</f>
        <v/>
      </c>
      <c r="N458" s="40" t="str">
        <f aca="false">IF($L458="청산",$I458*$F458,"")</f>
        <v/>
      </c>
      <c r="O458" s="40" t="str">
        <f aca="false">IF($B458="","",$G458+$J458+$K458)</f>
        <v/>
      </c>
      <c r="P458" s="41" t="str">
        <f aca="false">IF($L458="청산",$N458-$M458-$O458,"")</f>
        <v/>
      </c>
      <c r="Q458" s="42" t="str">
        <f aca="false">IF($L458="청산",IF($M458=0,"",$P458/$M458),"")</f>
        <v/>
      </c>
      <c r="R458" s="43" t="str">
        <f aca="true">IF($B458="","",IF($L458="청산",$H458-$D458,IF($D458="","",TODAY()-$D458)))</f>
        <v/>
      </c>
      <c r="S458" s="44" t="str">
        <f aca="false">IF($L458="청산",DATE(YEAR($H458),MONTH($H458),1),"")</f>
        <v/>
      </c>
      <c r="T458" s="48"/>
      <c r="U458" s="49"/>
      <c r="V458" s="46" t="str">
        <f aca="false">IF($B458="","",IF($L458&lt;&gt;"청산",N(V457),IF($P458&gt;0,N(V457)+1,0)))</f>
        <v/>
      </c>
      <c r="W458" s="46" t="str">
        <f aca="false">IF($B458="","",IF($L458&lt;&gt;"청산",N(W457),IF($P458&lt;0,N(W457)+1,0)))</f>
        <v/>
      </c>
    </row>
    <row r="459" customFormat="false" ht="15" hidden="false" customHeight="false" outlineLevel="0" collapsed="false">
      <c r="A459" s="32" t="str">
        <f aca="false">IF($B459="","",ROW()-5)</f>
        <v/>
      </c>
      <c r="B459" s="48"/>
      <c r="C459" s="49"/>
      <c r="D459" s="50"/>
      <c r="E459" s="51"/>
      <c r="F459" s="52"/>
      <c r="G459" s="53"/>
      <c r="H459" s="50"/>
      <c r="I459" s="51"/>
      <c r="J459" s="53"/>
      <c r="K459" s="53"/>
      <c r="L459" s="39" t="str">
        <f aca="false">IF($B459="","",IF($H459="","보유중","청산"))</f>
        <v/>
      </c>
      <c r="M459" s="40" t="str">
        <f aca="false">IF($B459="","",$E459*$F459)</f>
        <v/>
      </c>
      <c r="N459" s="40" t="str">
        <f aca="false">IF($L459="청산",$I459*$F459,"")</f>
        <v/>
      </c>
      <c r="O459" s="40" t="str">
        <f aca="false">IF($B459="","",$G459+$J459+$K459)</f>
        <v/>
      </c>
      <c r="P459" s="41" t="str">
        <f aca="false">IF($L459="청산",$N459-$M459-$O459,"")</f>
        <v/>
      </c>
      <c r="Q459" s="42" t="str">
        <f aca="false">IF($L459="청산",IF($M459=0,"",$P459/$M459),"")</f>
        <v/>
      </c>
      <c r="R459" s="43" t="str">
        <f aca="true">IF($B459="","",IF($L459="청산",$H459-$D459,IF($D459="","",TODAY()-$D459)))</f>
        <v/>
      </c>
      <c r="S459" s="44" t="str">
        <f aca="false">IF($L459="청산",DATE(YEAR($H459),MONTH($H459),1),"")</f>
        <v/>
      </c>
      <c r="T459" s="48"/>
      <c r="U459" s="49"/>
      <c r="V459" s="46" t="str">
        <f aca="false">IF($B459="","",IF($L459&lt;&gt;"청산",N(V458),IF($P459&gt;0,N(V458)+1,0)))</f>
        <v/>
      </c>
      <c r="W459" s="46" t="str">
        <f aca="false">IF($B459="","",IF($L459&lt;&gt;"청산",N(W458),IF($P459&lt;0,N(W458)+1,0)))</f>
        <v/>
      </c>
    </row>
    <row r="460" customFormat="false" ht="15" hidden="false" customHeight="false" outlineLevel="0" collapsed="false">
      <c r="A460" s="32" t="str">
        <f aca="false">IF($B460="","",ROW()-5)</f>
        <v/>
      </c>
      <c r="B460" s="48"/>
      <c r="C460" s="49"/>
      <c r="D460" s="50"/>
      <c r="E460" s="51"/>
      <c r="F460" s="52"/>
      <c r="G460" s="53"/>
      <c r="H460" s="50"/>
      <c r="I460" s="51"/>
      <c r="J460" s="53"/>
      <c r="K460" s="53"/>
      <c r="L460" s="39" t="str">
        <f aca="false">IF($B460="","",IF($H460="","보유중","청산"))</f>
        <v/>
      </c>
      <c r="M460" s="40" t="str">
        <f aca="false">IF($B460="","",$E460*$F460)</f>
        <v/>
      </c>
      <c r="N460" s="40" t="str">
        <f aca="false">IF($L460="청산",$I460*$F460,"")</f>
        <v/>
      </c>
      <c r="O460" s="40" t="str">
        <f aca="false">IF($B460="","",$G460+$J460+$K460)</f>
        <v/>
      </c>
      <c r="P460" s="41" t="str">
        <f aca="false">IF($L460="청산",$N460-$M460-$O460,"")</f>
        <v/>
      </c>
      <c r="Q460" s="42" t="str">
        <f aca="false">IF($L460="청산",IF($M460=0,"",$P460/$M460),"")</f>
        <v/>
      </c>
      <c r="R460" s="43" t="str">
        <f aca="true">IF($B460="","",IF($L460="청산",$H460-$D460,IF($D460="","",TODAY()-$D460)))</f>
        <v/>
      </c>
      <c r="S460" s="44" t="str">
        <f aca="false">IF($L460="청산",DATE(YEAR($H460),MONTH($H460),1),"")</f>
        <v/>
      </c>
      <c r="T460" s="48"/>
      <c r="U460" s="49"/>
      <c r="V460" s="46" t="str">
        <f aca="false">IF($B460="","",IF($L460&lt;&gt;"청산",N(V459),IF($P460&gt;0,N(V459)+1,0)))</f>
        <v/>
      </c>
      <c r="W460" s="46" t="str">
        <f aca="false">IF($B460="","",IF($L460&lt;&gt;"청산",N(W459),IF($P460&lt;0,N(W459)+1,0)))</f>
        <v/>
      </c>
    </row>
    <row r="461" customFormat="false" ht="15" hidden="false" customHeight="false" outlineLevel="0" collapsed="false">
      <c r="A461" s="32" t="str">
        <f aca="false">IF($B461="","",ROW()-5)</f>
        <v/>
      </c>
      <c r="B461" s="48"/>
      <c r="C461" s="49"/>
      <c r="D461" s="50"/>
      <c r="E461" s="51"/>
      <c r="F461" s="52"/>
      <c r="G461" s="53"/>
      <c r="H461" s="50"/>
      <c r="I461" s="51"/>
      <c r="J461" s="53"/>
      <c r="K461" s="53"/>
      <c r="L461" s="39" t="str">
        <f aca="false">IF($B461="","",IF($H461="","보유중","청산"))</f>
        <v/>
      </c>
      <c r="M461" s="40" t="str">
        <f aca="false">IF($B461="","",$E461*$F461)</f>
        <v/>
      </c>
      <c r="N461" s="40" t="str">
        <f aca="false">IF($L461="청산",$I461*$F461,"")</f>
        <v/>
      </c>
      <c r="O461" s="40" t="str">
        <f aca="false">IF($B461="","",$G461+$J461+$K461)</f>
        <v/>
      </c>
      <c r="P461" s="41" t="str">
        <f aca="false">IF($L461="청산",$N461-$M461-$O461,"")</f>
        <v/>
      </c>
      <c r="Q461" s="42" t="str">
        <f aca="false">IF($L461="청산",IF($M461=0,"",$P461/$M461),"")</f>
        <v/>
      </c>
      <c r="R461" s="43" t="str">
        <f aca="true">IF($B461="","",IF($L461="청산",$H461-$D461,IF($D461="","",TODAY()-$D461)))</f>
        <v/>
      </c>
      <c r="S461" s="44" t="str">
        <f aca="false">IF($L461="청산",DATE(YEAR($H461),MONTH($H461),1),"")</f>
        <v/>
      </c>
      <c r="T461" s="48"/>
      <c r="U461" s="49"/>
      <c r="V461" s="46" t="str">
        <f aca="false">IF($B461="","",IF($L461&lt;&gt;"청산",N(V460),IF($P461&gt;0,N(V460)+1,0)))</f>
        <v/>
      </c>
      <c r="W461" s="46" t="str">
        <f aca="false">IF($B461="","",IF($L461&lt;&gt;"청산",N(W460),IF($P461&lt;0,N(W460)+1,0)))</f>
        <v/>
      </c>
    </row>
    <row r="462" customFormat="false" ht="15" hidden="false" customHeight="false" outlineLevel="0" collapsed="false">
      <c r="A462" s="32" t="str">
        <f aca="false">IF($B462="","",ROW()-5)</f>
        <v/>
      </c>
      <c r="B462" s="48"/>
      <c r="C462" s="49"/>
      <c r="D462" s="50"/>
      <c r="E462" s="51"/>
      <c r="F462" s="52"/>
      <c r="G462" s="53"/>
      <c r="H462" s="50"/>
      <c r="I462" s="51"/>
      <c r="J462" s="53"/>
      <c r="K462" s="53"/>
      <c r="L462" s="39" t="str">
        <f aca="false">IF($B462="","",IF($H462="","보유중","청산"))</f>
        <v/>
      </c>
      <c r="M462" s="40" t="str">
        <f aca="false">IF($B462="","",$E462*$F462)</f>
        <v/>
      </c>
      <c r="N462" s="40" t="str">
        <f aca="false">IF($L462="청산",$I462*$F462,"")</f>
        <v/>
      </c>
      <c r="O462" s="40" t="str">
        <f aca="false">IF($B462="","",$G462+$J462+$K462)</f>
        <v/>
      </c>
      <c r="P462" s="41" t="str">
        <f aca="false">IF($L462="청산",$N462-$M462-$O462,"")</f>
        <v/>
      </c>
      <c r="Q462" s="42" t="str">
        <f aca="false">IF($L462="청산",IF($M462=0,"",$P462/$M462),"")</f>
        <v/>
      </c>
      <c r="R462" s="43" t="str">
        <f aca="true">IF($B462="","",IF($L462="청산",$H462-$D462,IF($D462="","",TODAY()-$D462)))</f>
        <v/>
      </c>
      <c r="S462" s="44" t="str">
        <f aca="false">IF($L462="청산",DATE(YEAR($H462),MONTH($H462),1),"")</f>
        <v/>
      </c>
      <c r="T462" s="48"/>
      <c r="U462" s="49"/>
      <c r="V462" s="46" t="str">
        <f aca="false">IF($B462="","",IF($L462&lt;&gt;"청산",N(V461),IF($P462&gt;0,N(V461)+1,0)))</f>
        <v/>
      </c>
      <c r="W462" s="46" t="str">
        <f aca="false">IF($B462="","",IF($L462&lt;&gt;"청산",N(W461),IF($P462&lt;0,N(W461)+1,0)))</f>
        <v/>
      </c>
    </row>
    <row r="463" customFormat="false" ht="15" hidden="false" customHeight="false" outlineLevel="0" collapsed="false">
      <c r="A463" s="32" t="str">
        <f aca="false">IF($B463="","",ROW()-5)</f>
        <v/>
      </c>
      <c r="B463" s="48"/>
      <c r="C463" s="49"/>
      <c r="D463" s="50"/>
      <c r="E463" s="51"/>
      <c r="F463" s="52"/>
      <c r="G463" s="53"/>
      <c r="H463" s="50"/>
      <c r="I463" s="51"/>
      <c r="J463" s="53"/>
      <c r="K463" s="53"/>
      <c r="L463" s="39" t="str">
        <f aca="false">IF($B463="","",IF($H463="","보유중","청산"))</f>
        <v/>
      </c>
      <c r="M463" s="40" t="str">
        <f aca="false">IF($B463="","",$E463*$F463)</f>
        <v/>
      </c>
      <c r="N463" s="40" t="str">
        <f aca="false">IF($L463="청산",$I463*$F463,"")</f>
        <v/>
      </c>
      <c r="O463" s="40" t="str">
        <f aca="false">IF($B463="","",$G463+$J463+$K463)</f>
        <v/>
      </c>
      <c r="P463" s="41" t="str">
        <f aca="false">IF($L463="청산",$N463-$M463-$O463,"")</f>
        <v/>
      </c>
      <c r="Q463" s="42" t="str">
        <f aca="false">IF($L463="청산",IF($M463=0,"",$P463/$M463),"")</f>
        <v/>
      </c>
      <c r="R463" s="43" t="str">
        <f aca="true">IF($B463="","",IF($L463="청산",$H463-$D463,IF($D463="","",TODAY()-$D463)))</f>
        <v/>
      </c>
      <c r="S463" s="44" t="str">
        <f aca="false">IF($L463="청산",DATE(YEAR($H463),MONTH($H463),1),"")</f>
        <v/>
      </c>
      <c r="T463" s="48"/>
      <c r="U463" s="49"/>
      <c r="V463" s="46" t="str">
        <f aca="false">IF($B463="","",IF($L463&lt;&gt;"청산",N(V462),IF($P463&gt;0,N(V462)+1,0)))</f>
        <v/>
      </c>
      <c r="W463" s="46" t="str">
        <f aca="false">IF($B463="","",IF($L463&lt;&gt;"청산",N(W462),IF($P463&lt;0,N(W462)+1,0)))</f>
        <v/>
      </c>
    </row>
    <row r="464" customFormat="false" ht="15" hidden="false" customHeight="false" outlineLevel="0" collapsed="false">
      <c r="A464" s="32" t="str">
        <f aca="false">IF($B464="","",ROW()-5)</f>
        <v/>
      </c>
      <c r="B464" s="48"/>
      <c r="C464" s="49"/>
      <c r="D464" s="50"/>
      <c r="E464" s="51"/>
      <c r="F464" s="52"/>
      <c r="G464" s="53"/>
      <c r="H464" s="50"/>
      <c r="I464" s="51"/>
      <c r="J464" s="53"/>
      <c r="K464" s="53"/>
      <c r="L464" s="39" t="str">
        <f aca="false">IF($B464="","",IF($H464="","보유중","청산"))</f>
        <v/>
      </c>
      <c r="M464" s="40" t="str">
        <f aca="false">IF($B464="","",$E464*$F464)</f>
        <v/>
      </c>
      <c r="N464" s="40" t="str">
        <f aca="false">IF($L464="청산",$I464*$F464,"")</f>
        <v/>
      </c>
      <c r="O464" s="40" t="str">
        <f aca="false">IF($B464="","",$G464+$J464+$K464)</f>
        <v/>
      </c>
      <c r="P464" s="41" t="str">
        <f aca="false">IF($L464="청산",$N464-$M464-$O464,"")</f>
        <v/>
      </c>
      <c r="Q464" s="42" t="str">
        <f aca="false">IF($L464="청산",IF($M464=0,"",$P464/$M464),"")</f>
        <v/>
      </c>
      <c r="R464" s="43" t="str">
        <f aca="true">IF($B464="","",IF($L464="청산",$H464-$D464,IF($D464="","",TODAY()-$D464)))</f>
        <v/>
      </c>
      <c r="S464" s="44" t="str">
        <f aca="false">IF($L464="청산",DATE(YEAR($H464),MONTH($H464),1),"")</f>
        <v/>
      </c>
      <c r="T464" s="48"/>
      <c r="U464" s="49"/>
      <c r="V464" s="46" t="str">
        <f aca="false">IF($B464="","",IF($L464&lt;&gt;"청산",N(V463),IF($P464&gt;0,N(V463)+1,0)))</f>
        <v/>
      </c>
      <c r="W464" s="46" t="str">
        <f aca="false">IF($B464="","",IF($L464&lt;&gt;"청산",N(W463),IF($P464&lt;0,N(W463)+1,0)))</f>
        <v/>
      </c>
    </row>
    <row r="465" customFormat="false" ht="15" hidden="false" customHeight="false" outlineLevel="0" collapsed="false">
      <c r="A465" s="32" t="str">
        <f aca="false">IF($B465="","",ROW()-5)</f>
        <v/>
      </c>
      <c r="B465" s="48"/>
      <c r="C465" s="49"/>
      <c r="D465" s="50"/>
      <c r="E465" s="51"/>
      <c r="F465" s="52"/>
      <c r="G465" s="53"/>
      <c r="H465" s="50"/>
      <c r="I465" s="51"/>
      <c r="J465" s="53"/>
      <c r="K465" s="53"/>
      <c r="L465" s="39" t="str">
        <f aca="false">IF($B465="","",IF($H465="","보유중","청산"))</f>
        <v/>
      </c>
      <c r="M465" s="40" t="str">
        <f aca="false">IF($B465="","",$E465*$F465)</f>
        <v/>
      </c>
      <c r="N465" s="40" t="str">
        <f aca="false">IF($L465="청산",$I465*$F465,"")</f>
        <v/>
      </c>
      <c r="O465" s="40" t="str">
        <f aca="false">IF($B465="","",$G465+$J465+$K465)</f>
        <v/>
      </c>
      <c r="P465" s="41" t="str">
        <f aca="false">IF($L465="청산",$N465-$M465-$O465,"")</f>
        <v/>
      </c>
      <c r="Q465" s="42" t="str">
        <f aca="false">IF($L465="청산",IF($M465=0,"",$P465/$M465),"")</f>
        <v/>
      </c>
      <c r="R465" s="43" t="str">
        <f aca="true">IF($B465="","",IF($L465="청산",$H465-$D465,IF($D465="","",TODAY()-$D465)))</f>
        <v/>
      </c>
      <c r="S465" s="44" t="str">
        <f aca="false">IF($L465="청산",DATE(YEAR($H465),MONTH($H465),1),"")</f>
        <v/>
      </c>
      <c r="T465" s="48"/>
      <c r="U465" s="49"/>
      <c r="V465" s="46" t="str">
        <f aca="false">IF($B465="","",IF($L465&lt;&gt;"청산",N(V464),IF($P465&gt;0,N(V464)+1,0)))</f>
        <v/>
      </c>
      <c r="W465" s="46" t="str">
        <f aca="false">IF($B465="","",IF($L465&lt;&gt;"청산",N(W464),IF($P465&lt;0,N(W464)+1,0)))</f>
        <v/>
      </c>
    </row>
    <row r="466" customFormat="false" ht="15" hidden="false" customHeight="false" outlineLevel="0" collapsed="false">
      <c r="A466" s="32" t="str">
        <f aca="false">IF($B466="","",ROW()-5)</f>
        <v/>
      </c>
      <c r="B466" s="48"/>
      <c r="C466" s="49"/>
      <c r="D466" s="50"/>
      <c r="E466" s="51"/>
      <c r="F466" s="52"/>
      <c r="G466" s="53"/>
      <c r="H466" s="50"/>
      <c r="I466" s="51"/>
      <c r="J466" s="53"/>
      <c r="K466" s="53"/>
      <c r="L466" s="39" t="str">
        <f aca="false">IF($B466="","",IF($H466="","보유중","청산"))</f>
        <v/>
      </c>
      <c r="M466" s="40" t="str">
        <f aca="false">IF($B466="","",$E466*$F466)</f>
        <v/>
      </c>
      <c r="N466" s="40" t="str">
        <f aca="false">IF($L466="청산",$I466*$F466,"")</f>
        <v/>
      </c>
      <c r="O466" s="40" t="str">
        <f aca="false">IF($B466="","",$G466+$J466+$K466)</f>
        <v/>
      </c>
      <c r="P466" s="41" t="str">
        <f aca="false">IF($L466="청산",$N466-$M466-$O466,"")</f>
        <v/>
      </c>
      <c r="Q466" s="42" t="str">
        <f aca="false">IF($L466="청산",IF($M466=0,"",$P466/$M466),"")</f>
        <v/>
      </c>
      <c r="R466" s="43" t="str">
        <f aca="true">IF($B466="","",IF($L466="청산",$H466-$D466,IF($D466="","",TODAY()-$D466)))</f>
        <v/>
      </c>
      <c r="S466" s="44" t="str">
        <f aca="false">IF($L466="청산",DATE(YEAR($H466),MONTH($H466),1),"")</f>
        <v/>
      </c>
      <c r="T466" s="48"/>
      <c r="U466" s="49"/>
      <c r="V466" s="46" t="str">
        <f aca="false">IF($B466="","",IF($L466&lt;&gt;"청산",N(V465),IF($P466&gt;0,N(V465)+1,0)))</f>
        <v/>
      </c>
      <c r="W466" s="46" t="str">
        <f aca="false">IF($B466="","",IF($L466&lt;&gt;"청산",N(W465),IF($P466&lt;0,N(W465)+1,0)))</f>
        <v/>
      </c>
    </row>
    <row r="467" customFormat="false" ht="15" hidden="false" customHeight="false" outlineLevel="0" collapsed="false">
      <c r="A467" s="32" t="str">
        <f aca="false">IF($B467="","",ROW()-5)</f>
        <v/>
      </c>
      <c r="B467" s="48"/>
      <c r="C467" s="49"/>
      <c r="D467" s="50"/>
      <c r="E467" s="51"/>
      <c r="F467" s="52"/>
      <c r="G467" s="53"/>
      <c r="H467" s="50"/>
      <c r="I467" s="51"/>
      <c r="J467" s="53"/>
      <c r="K467" s="53"/>
      <c r="L467" s="39" t="str">
        <f aca="false">IF($B467="","",IF($H467="","보유중","청산"))</f>
        <v/>
      </c>
      <c r="M467" s="40" t="str">
        <f aca="false">IF($B467="","",$E467*$F467)</f>
        <v/>
      </c>
      <c r="N467" s="40" t="str">
        <f aca="false">IF($L467="청산",$I467*$F467,"")</f>
        <v/>
      </c>
      <c r="O467" s="40" t="str">
        <f aca="false">IF($B467="","",$G467+$J467+$K467)</f>
        <v/>
      </c>
      <c r="P467" s="41" t="str">
        <f aca="false">IF($L467="청산",$N467-$M467-$O467,"")</f>
        <v/>
      </c>
      <c r="Q467" s="42" t="str">
        <f aca="false">IF($L467="청산",IF($M467=0,"",$P467/$M467),"")</f>
        <v/>
      </c>
      <c r="R467" s="43" t="str">
        <f aca="true">IF($B467="","",IF($L467="청산",$H467-$D467,IF($D467="","",TODAY()-$D467)))</f>
        <v/>
      </c>
      <c r="S467" s="44" t="str">
        <f aca="false">IF($L467="청산",DATE(YEAR($H467),MONTH($H467),1),"")</f>
        <v/>
      </c>
      <c r="T467" s="48"/>
      <c r="U467" s="49"/>
      <c r="V467" s="46" t="str">
        <f aca="false">IF($B467="","",IF($L467&lt;&gt;"청산",N(V466),IF($P467&gt;0,N(V466)+1,0)))</f>
        <v/>
      </c>
      <c r="W467" s="46" t="str">
        <f aca="false">IF($B467="","",IF($L467&lt;&gt;"청산",N(W466),IF($P467&lt;0,N(W466)+1,0)))</f>
        <v/>
      </c>
    </row>
    <row r="468" customFormat="false" ht="15" hidden="false" customHeight="false" outlineLevel="0" collapsed="false">
      <c r="A468" s="32" t="str">
        <f aca="false">IF($B468="","",ROW()-5)</f>
        <v/>
      </c>
      <c r="B468" s="48"/>
      <c r="C468" s="49"/>
      <c r="D468" s="50"/>
      <c r="E468" s="51"/>
      <c r="F468" s="52"/>
      <c r="G468" s="53"/>
      <c r="H468" s="50"/>
      <c r="I468" s="51"/>
      <c r="J468" s="53"/>
      <c r="K468" s="53"/>
      <c r="L468" s="39" t="str">
        <f aca="false">IF($B468="","",IF($H468="","보유중","청산"))</f>
        <v/>
      </c>
      <c r="M468" s="40" t="str">
        <f aca="false">IF($B468="","",$E468*$F468)</f>
        <v/>
      </c>
      <c r="N468" s="40" t="str">
        <f aca="false">IF($L468="청산",$I468*$F468,"")</f>
        <v/>
      </c>
      <c r="O468" s="40" t="str">
        <f aca="false">IF($B468="","",$G468+$J468+$K468)</f>
        <v/>
      </c>
      <c r="P468" s="41" t="str">
        <f aca="false">IF($L468="청산",$N468-$M468-$O468,"")</f>
        <v/>
      </c>
      <c r="Q468" s="42" t="str">
        <f aca="false">IF($L468="청산",IF($M468=0,"",$P468/$M468),"")</f>
        <v/>
      </c>
      <c r="R468" s="43" t="str">
        <f aca="true">IF($B468="","",IF($L468="청산",$H468-$D468,IF($D468="","",TODAY()-$D468)))</f>
        <v/>
      </c>
      <c r="S468" s="44" t="str">
        <f aca="false">IF($L468="청산",DATE(YEAR($H468),MONTH($H468),1),"")</f>
        <v/>
      </c>
      <c r="T468" s="48"/>
      <c r="U468" s="49"/>
      <c r="V468" s="46" t="str">
        <f aca="false">IF($B468="","",IF($L468&lt;&gt;"청산",N(V467),IF($P468&gt;0,N(V467)+1,0)))</f>
        <v/>
      </c>
      <c r="W468" s="46" t="str">
        <f aca="false">IF($B468="","",IF($L468&lt;&gt;"청산",N(W467),IF($P468&lt;0,N(W467)+1,0)))</f>
        <v/>
      </c>
    </row>
    <row r="469" customFormat="false" ht="15" hidden="false" customHeight="false" outlineLevel="0" collapsed="false">
      <c r="A469" s="32" t="str">
        <f aca="false">IF($B469="","",ROW()-5)</f>
        <v/>
      </c>
      <c r="B469" s="48"/>
      <c r="C469" s="49"/>
      <c r="D469" s="50"/>
      <c r="E469" s="51"/>
      <c r="F469" s="52"/>
      <c r="G469" s="53"/>
      <c r="H469" s="50"/>
      <c r="I469" s="51"/>
      <c r="J469" s="53"/>
      <c r="K469" s="53"/>
      <c r="L469" s="39" t="str">
        <f aca="false">IF($B469="","",IF($H469="","보유중","청산"))</f>
        <v/>
      </c>
      <c r="M469" s="40" t="str">
        <f aca="false">IF($B469="","",$E469*$F469)</f>
        <v/>
      </c>
      <c r="N469" s="40" t="str">
        <f aca="false">IF($L469="청산",$I469*$F469,"")</f>
        <v/>
      </c>
      <c r="O469" s="40" t="str">
        <f aca="false">IF($B469="","",$G469+$J469+$K469)</f>
        <v/>
      </c>
      <c r="P469" s="41" t="str">
        <f aca="false">IF($L469="청산",$N469-$M469-$O469,"")</f>
        <v/>
      </c>
      <c r="Q469" s="42" t="str">
        <f aca="false">IF($L469="청산",IF($M469=0,"",$P469/$M469),"")</f>
        <v/>
      </c>
      <c r="R469" s="43" t="str">
        <f aca="true">IF($B469="","",IF($L469="청산",$H469-$D469,IF($D469="","",TODAY()-$D469)))</f>
        <v/>
      </c>
      <c r="S469" s="44" t="str">
        <f aca="false">IF($L469="청산",DATE(YEAR($H469),MONTH($H469),1),"")</f>
        <v/>
      </c>
      <c r="T469" s="48"/>
      <c r="U469" s="49"/>
      <c r="V469" s="46" t="str">
        <f aca="false">IF($B469="","",IF($L469&lt;&gt;"청산",N(V468),IF($P469&gt;0,N(V468)+1,0)))</f>
        <v/>
      </c>
      <c r="W469" s="46" t="str">
        <f aca="false">IF($B469="","",IF($L469&lt;&gt;"청산",N(W468),IF($P469&lt;0,N(W468)+1,0)))</f>
        <v/>
      </c>
    </row>
    <row r="470" customFormat="false" ht="15" hidden="false" customHeight="false" outlineLevel="0" collapsed="false">
      <c r="A470" s="32" t="str">
        <f aca="false">IF($B470="","",ROW()-5)</f>
        <v/>
      </c>
      <c r="B470" s="48"/>
      <c r="C470" s="49"/>
      <c r="D470" s="50"/>
      <c r="E470" s="51"/>
      <c r="F470" s="52"/>
      <c r="G470" s="53"/>
      <c r="H470" s="50"/>
      <c r="I470" s="51"/>
      <c r="J470" s="53"/>
      <c r="K470" s="53"/>
      <c r="L470" s="39" t="str">
        <f aca="false">IF($B470="","",IF($H470="","보유중","청산"))</f>
        <v/>
      </c>
      <c r="M470" s="40" t="str">
        <f aca="false">IF($B470="","",$E470*$F470)</f>
        <v/>
      </c>
      <c r="N470" s="40" t="str">
        <f aca="false">IF($L470="청산",$I470*$F470,"")</f>
        <v/>
      </c>
      <c r="O470" s="40" t="str">
        <f aca="false">IF($B470="","",$G470+$J470+$K470)</f>
        <v/>
      </c>
      <c r="P470" s="41" t="str">
        <f aca="false">IF($L470="청산",$N470-$M470-$O470,"")</f>
        <v/>
      </c>
      <c r="Q470" s="42" t="str">
        <f aca="false">IF($L470="청산",IF($M470=0,"",$P470/$M470),"")</f>
        <v/>
      </c>
      <c r="R470" s="43" t="str">
        <f aca="true">IF($B470="","",IF($L470="청산",$H470-$D470,IF($D470="","",TODAY()-$D470)))</f>
        <v/>
      </c>
      <c r="S470" s="44" t="str">
        <f aca="false">IF($L470="청산",DATE(YEAR($H470),MONTH($H470),1),"")</f>
        <v/>
      </c>
      <c r="T470" s="48"/>
      <c r="U470" s="49"/>
      <c r="V470" s="46" t="str">
        <f aca="false">IF($B470="","",IF($L470&lt;&gt;"청산",N(V469),IF($P470&gt;0,N(V469)+1,0)))</f>
        <v/>
      </c>
      <c r="W470" s="46" t="str">
        <f aca="false">IF($B470="","",IF($L470&lt;&gt;"청산",N(W469),IF($P470&lt;0,N(W469)+1,0)))</f>
        <v/>
      </c>
    </row>
    <row r="471" customFormat="false" ht="15" hidden="false" customHeight="false" outlineLevel="0" collapsed="false">
      <c r="A471" s="32" t="str">
        <f aca="false">IF($B471="","",ROW()-5)</f>
        <v/>
      </c>
      <c r="B471" s="48"/>
      <c r="C471" s="49"/>
      <c r="D471" s="50"/>
      <c r="E471" s="51"/>
      <c r="F471" s="52"/>
      <c r="G471" s="53"/>
      <c r="H471" s="50"/>
      <c r="I471" s="51"/>
      <c r="J471" s="53"/>
      <c r="K471" s="53"/>
      <c r="L471" s="39" t="str">
        <f aca="false">IF($B471="","",IF($H471="","보유중","청산"))</f>
        <v/>
      </c>
      <c r="M471" s="40" t="str">
        <f aca="false">IF($B471="","",$E471*$F471)</f>
        <v/>
      </c>
      <c r="N471" s="40" t="str">
        <f aca="false">IF($L471="청산",$I471*$F471,"")</f>
        <v/>
      </c>
      <c r="O471" s="40" t="str">
        <f aca="false">IF($B471="","",$G471+$J471+$K471)</f>
        <v/>
      </c>
      <c r="P471" s="41" t="str">
        <f aca="false">IF($L471="청산",$N471-$M471-$O471,"")</f>
        <v/>
      </c>
      <c r="Q471" s="42" t="str">
        <f aca="false">IF($L471="청산",IF($M471=0,"",$P471/$M471),"")</f>
        <v/>
      </c>
      <c r="R471" s="43" t="str">
        <f aca="true">IF($B471="","",IF($L471="청산",$H471-$D471,IF($D471="","",TODAY()-$D471)))</f>
        <v/>
      </c>
      <c r="S471" s="44" t="str">
        <f aca="false">IF($L471="청산",DATE(YEAR($H471),MONTH($H471),1),"")</f>
        <v/>
      </c>
      <c r="T471" s="48"/>
      <c r="U471" s="49"/>
      <c r="V471" s="46" t="str">
        <f aca="false">IF($B471="","",IF($L471&lt;&gt;"청산",N(V470),IF($P471&gt;0,N(V470)+1,0)))</f>
        <v/>
      </c>
      <c r="W471" s="46" t="str">
        <f aca="false">IF($B471="","",IF($L471&lt;&gt;"청산",N(W470),IF($P471&lt;0,N(W470)+1,0)))</f>
        <v/>
      </c>
    </row>
    <row r="472" customFormat="false" ht="15" hidden="false" customHeight="false" outlineLevel="0" collapsed="false">
      <c r="A472" s="32" t="str">
        <f aca="false">IF($B472="","",ROW()-5)</f>
        <v/>
      </c>
      <c r="B472" s="48"/>
      <c r="C472" s="49"/>
      <c r="D472" s="50"/>
      <c r="E472" s="51"/>
      <c r="F472" s="52"/>
      <c r="G472" s="53"/>
      <c r="H472" s="50"/>
      <c r="I472" s="51"/>
      <c r="J472" s="53"/>
      <c r="K472" s="53"/>
      <c r="L472" s="39" t="str">
        <f aca="false">IF($B472="","",IF($H472="","보유중","청산"))</f>
        <v/>
      </c>
      <c r="M472" s="40" t="str">
        <f aca="false">IF($B472="","",$E472*$F472)</f>
        <v/>
      </c>
      <c r="N472" s="40" t="str">
        <f aca="false">IF($L472="청산",$I472*$F472,"")</f>
        <v/>
      </c>
      <c r="O472" s="40" t="str">
        <f aca="false">IF($B472="","",$G472+$J472+$K472)</f>
        <v/>
      </c>
      <c r="P472" s="41" t="str">
        <f aca="false">IF($L472="청산",$N472-$M472-$O472,"")</f>
        <v/>
      </c>
      <c r="Q472" s="42" t="str">
        <f aca="false">IF($L472="청산",IF($M472=0,"",$P472/$M472),"")</f>
        <v/>
      </c>
      <c r="R472" s="43" t="str">
        <f aca="true">IF($B472="","",IF($L472="청산",$H472-$D472,IF($D472="","",TODAY()-$D472)))</f>
        <v/>
      </c>
      <c r="S472" s="44" t="str">
        <f aca="false">IF($L472="청산",DATE(YEAR($H472),MONTH($H472),1),"")</f>
        <v/>
      </c>
      <c r="T472" s="48"/>
      <c r="U472" s="49"/>
      <c r="V472" s="46" t="str">
        <f aca="false">IF($B472="","",IF($L472&lt;&gt;"청산",N(V471),IF($P472&gt;0,N(V471)+1,0)))</f>
        <v/>
      </c>
      <c r="W472" s="46" t="str">
        <f aca="false">IF($B472="","",IF($L472&lt;&gt;"청산",N(W471),IF($P472&lt;0,N(W471)+1,0)))</f>
        <v/>
      </c>
    </row>
    <row r="473" customFormat="false" ht="15" hidden="false" customHeight="false" outlineLevel="0" collapsed="false">
      <c r="A473" s="32" t="str">
        <f aca="false">IF($B473="","",ROW()-5)</f>
        <v/>
      </c>
      <c r="B473" s="48"/>
      <c r="C473" s="49"/>
      <c r="D473" s="50"/>
      <c r="E473" s="51"/>
      <c r="F473" s="52"/>
      <c r="G473" s="53"/>
      <c r="H473" s="50"/>
      <c r="I473" s="51"/>
      <c r="J473" s="53"/>
      <c r="K473" s="53"/>
      <c r="L473" s="39" t="str">
        <f aca="false">IF($B473="","",IF($H473="","보유중","청산"))</f>
        <v/>
      </c>
      <c r="M473" s="40" t="str">
        <f aca="false">IF($B473="","",$E473*$F473)</f>
        <v/>
      </c>
      <c r="N473" s="40" t="str">
        <f aca="false">IF($L473="청산",$I473*$F473,"")</f>
        <v/>
      </c>
      <c r="O473" s="40" t="str">
        <f aca="false">IF($B473="","",$G473+$J473+$K473)</f>
        <v/>
      </c>
      <c r="P473" s="41" t="str">
        <f aca="false">IF($L473="청산",$N473-$M473-$O473,"")</f>
        <v/>
      </c>
      <c r="Q473" s="42" t="str">
        <f aca="false">IF($L473="청산",IF($M473=0,"",$P473/$M473),"")</f>
        <v/>
      </c>
      <c r="R473" s="43" t="str">
        <f aca="true">IF($B473="","",IF($L473="청산",$H473-$D473,IF($D473="","",TODAY()-$D473)))</f>
        <v/>
      </c>
      <c r="S473" s="44" t="str">
        <f aca="false">IF($L473="청산",DATE(YEAR($H473),MONTH($H473),1),"")</f>
        <v/>
      </c>
      <c r="T473" s="48"/>
      <c r="U473" s="49"/>
      <c r="V473" s="46" t="str">
        <f aca="false">IF($B473="","",IF($L473&lt;&gt;"청산",N(V472),IF($P473&gt;0,N(V472)+1,0)))</f>
        <v/>
      </c>
      <c r="W473" s="46" t="str">
        <f aca="false">IF($B473="","",IF($L473&lt;&gt;"청산",N(W472),IF($P473&lt;0,N(W472)+1,0)))</f>
        <v/>
      </c>
    </row>
    <row r="474" customFormat="false" ht="15" hidden="false" customHeight="false" outlineLevel="0" collapsed="false">
      <c r="A474" s="32" t="str">
        <f aca="false">IF($B474="","",ROW()-5)</f>
        <v/>
      </c>
      <c r="B474" s="48"/>
      <c r="C474" s="49"/>
      <c r="D474" s="50"/>
      <c r="E474" s="51"/>
      <c r="F474" s="52"/>
      <c r="G474" s="53"/>
      <c r="H474" s="50"/>
      <c r="I474" s="51"/>
      <c r="J474" s="53"/>
      <c r="K474" s="53"/>
      <c r="L474" s="39" t="str">
        <f aca="false">IF($B474="","",IF($H474="","보유중","청산"))</f>
        <v/>
      </c>
      <c r="M474" s="40" t="str">
        <f aca="false">IF($B474="","",$E474*$F474)</f>
        <v/>
      </c>
      <c r="N474" s="40" t="str">
        <f aca="false">IF($L474="청산",$I474*$F474,"")</f>
        <v/>
      </c>
      <c r="O474" s="40" t="str">
        <f aca="false">IF($B474="","",$G474+$J474+$K474)</f>
        <v/>
      </c>
      <c r="P474" s="41" t="str">
        <f aca="false">IF($L474="청산",$N474-$M474-$O474,"")</f>
        <v/>
      </c>
      <c r="Q474" s="42" t="str">
        <f aca="false">IF($L474="청산",IF($M474=0,"",$P474/$M474),"")</f>
        <v/>
      </c>
      <c r="R474" s="43" t="str">
        <f aca="true">IF($B474="","",IF($L474="청산",$H474-$D474,IF($D474="","",TODAY()-$D474)))</f>
        <v/>
      </c>
      <c r="S474" s="44" t="str">
        <f aca="false">IF($L474="청산",DATE(YEAR($H474),MONTH($H474),1),"")</f>
        <v/>
      </c>
      <c r="T474" s="48"/>
      <c r="U474" s="49"/>
      <c r="V474" s="46" t="str">
        <f aca="false">IF($B474="","",IF($L474&lt;&gt;"청산",N(V473),IF($P474&gt;0,N(V473)+1,0)))</f>
        <v/>
      </c>
      <c r="W474" s="46" t="str">
        <f aca="false">IF($B474="","",IF($L474&lt;&gt;"청산",N(W473),IF($P474&lt;0,N(W473)+1,0)))</f>
        <v/>
      </c>
    </row>
    <row r="475" customFormat="false" ht="15" hidden="false" customHeight="false" outlineLevel="0" collapsed="false">
      <c r="A475" s="32" t="str">
        <f aca="false">IF($B475="","",ROW()-5)</f>
        <v/>
      </c>
      <c r="B475" s="48"/>
      <c r="C475" s="49"/>
      <c r="D475" s="50"/>
      <c r="E475" s="51"/>
      <c r="F475" s="52"/>
      <c r="G475" s="53"/>
      <c r="H475" s="50"/>
      <c r="I475" s="51"/>
      <c r="J475" s="53"/>
      <c r="K475" s="53"/>
      <c r="L475" s="39" t="str">
        <f aca="false">IF($B475="","",IF($H475="","보유중","청산"))</f>
        <v/>
      </c>
      <c r="M475" s="40" t="str">
        <f aca="false">IF($B475="","",$E475*$F475)</f>
        <v/>
      </c>
      <c r="N475" s="40" t="str">
        <f aca="false">IF($L475="청산",$I475*$F475,"")</f>
        <v/>
      </c>
      <c r="O475" s="40" t="str">
        <f aca="false">IF($B475="","",$G475+$J475+$K475)</f>
        <v/>
      </c>
      <c r="P475" s="41" t="str">
        <f aca="false">IF($L475="청산",$N475-$M475-$O475,"")</f>
        <v/>
      </c>
      <c r="Q475" s="42" t="str">
        <f aca="false">IF($L475="청산",IF($M475=0,"",$P475/$M475),"")</f>
        <v/>
      </c>
      <c r="R475" s="43" t="str">
        <f aca="true">IF($B475="","",IF($L475="청산",$H475-$D475,IF($D475="","",TODAY()-$D475)))</f>
        <v/>
      </c>
      <c r="S475" s="44" t="str">
        <f aca="false">IF($L475="청산",DATE(YEAR($H475),MONTH($H475),1),"")</f>
        <v/>
      </c>
      <c r="T475" s="48"/>
      <c r="U475" s="49"/>
      <c r="V475" s="46" t="str">
        <f aca="false">IF($B475="","",IF($L475&lt;&gt;"청산",N(V474),IF($P475&gt;0,N(V474)+1,0)))</f>
        <v/>
      </c>
      <c r="W475" s="46" t="str">
        <f aca="false">IF($B475="","",IF($L475&lt;&gt;"청산",N(W474),IF($P475&lt;0,N(W474)+1,0)))</f>
        <v/>
      </c>
    </row>
    <row r="476" customFormat="false" ht="15" hidden="false" customHeight="false" outlineLevel="0" collapsed="false">
      <c r="A476" s="32" t="str">
        <f aca="false">IF($B476="","",ROW()-5)</f>
        <v/>
      </c>
      <c r="B476" s="48"/>
      <c r="C476" s="49"/>
      <c r="D476" s="50"/>
      <c r="E476" s="51"/>
      <c r="F476" s="52"/>
      <c r="G476" s="53"/>
      <c r="H476" s="50"/>
      <c r="I476" s="51"/>
      <c r="J476" s="53"/>
      <c r="K476" s="53"/>
      <c r="L476" s="39" t="str">
        <f aca="false">IF($B476="","",IF($H476="","보유중","청산"))</f>
        <v/>
      </c>
      <c r="M476" s="40" t="str">
        <f aca="false">IF($B476="","",$E476*$F476)</f>
        <v/>
      </c>
      <c r="N476" s="40" t="str">
        <f aca="false">IF($L476="청산",$I476*$F476,"")</f>
        <v/>
      </c>
      <c r="O476" s="40" t="str">
        <f aca="false">IF($B476="","",$G476+$J476+$K476)</f>
        <v/>
      </c>
      <c r="P476" s="41" t="str">
        <f aca="false">IF($L476="청산",$N476-$M476-$O476,"")</f>
        <v/>
      </c>
      <c r="Q476" s="42" t="str">
        <f aca="false">IF($L476="청산",IF($M476=0,"",$P476/$M476),"")</f>
        <v/>
      </c>
      <c r="R476" s="43" t="str">
        <f aca="true">IF($B476="","",IF($L476="청산",$H476-$D476,IF($D476="","",TODAY()-$D476)))</f>
        <v/>
      </c>
      <c r="S476" s="44" t="str">
        <f aca="false">IF($L476="청산",DATE(YEAR($H476),MONTH($H476),1),"")</f>
        <v/>
      </c>
      <c r="T476" s="48"/>
      <c r="U476" s="49"/>
      <c r="V476" s="46" t="str">
        <f aca="false">IF($B476="","",IF($L476&lt;&gt;"청산",N(V475),IF($P476&gt;0,N(V475)+1,0)))</f>
        <v/>
      </c>
      <c r="W476" s="46" t="str">
        <f aca="false">IF($B476="","",IF($L476&lt;&gt;"청산",N(W475),IF($P476&lt;0,N(W475)+1,0)))</f>
        <v/>
      </c>
    </row>
    <row r="477" customFormat="false" ht="15" hidden="false" customHeight="false" outlineLevel="0" collapsed="false">
      <c r="A477" s="32" t="str">
        <f aca="false">IF($B477="","",ROW()-5)</f>
        <v/>
      </c>
      <c r="B477" s="48"/>
      <c r="C477" s="49"/>
      <c r="D477" s="50"/>
      <c r="E477" s="51"/>
      <c r="F477" s="52"/>
      <c r="G477" s="53"/>
      <c r="H477" s="50"/>
      <c r="I477" s="51"/>
      <c r="J477" s="53"/>
      <c r="K477" s="53"/>
      <c r="L477" s="39" t="str">
        <f aca="false">IF($B477="","",IF($H477="","보유중","청산"))</f>
        <v/>
      </c>
      <c r="M477" s="40" t="str">
        <f aca="false">IF($B477="","",$E477*$F477)</f>
        <v/>
      </c>
      <c r="N477" s="40" t="str">
        <f aca="false">IF($L477="청산",$I477*$F477,"")</f>
        <v/>
      </c>
      <c r="O477" s="40" t="str">
        <f aca="false">IF($B477="","",$G477+$J477+$K477)</f>
        <v/>
      </c>
      <c r="P477" s="41" t="str">
        <f aca="false">IF($L477="청산",$N477-$M477-$O477,"")</f>
        <v/>
      </c>
      <c r="Q477" s="42" t="str">
        <f aca="false">IF($L477="청산",IF($M477=0,"",$P477/$M477),"")</f>
        <v/>
      </c>
      <c r="R477" s="43" t="str">
        <f aca="true">IF($B477="","",IF($L477="청산",$H477-$D477,IF($D477="","",TODAY()-$D477)))</f>
        <v/>
      </c>
      <c r="S477" s="44" t="str">
        <f aca="false">IF($L477="청산",DATE(YEAR($H477),MONTH($H477),1),"")</f>
        <v/>
      </c>
      <c r="T477" s="48"/>
      <c r="U477" s="49"/>
      <c r="V477" s="46" t="str">
        <f aca="false">IF($B477="","",IF($L477&lt;&gt;"청산",N(V476),IF($P477&gt;0,N(V476)+1,0)))</f>
        <v/>
      </c>
      <c r="W477" s="46" t="str">
        <f aca="false">IF($B477="","",IF($L477&lt;&gt;"청산",N(W476),IF($P477&lt;0,N(W476)+1,0)))</f>
        <v/>
      </c>
    </row>
    <row r="478" customFormat="false" ht="15" hidden="false" customHeight="false" outlineLevel="0" collapsed="false">
      <c r="A478" s="32" t="str">
        <f aca="false">IF($B478="","",ROW()-5)</f>
        <v/>
      </c>
      <c r="B478" s="48"/>
      <c r="C478" s="49"/>
      <c r="D478" s="50"/>
      <c r="E478" s="51"/>
      <c r="F478" s="52"/>
      <c r="G478" s="53"/>
      <c r="H478" s="50"/>
      <c r="I478" s="51"/>
      <c r="J478" s="53"/>
      <c r="K478" s="53"/>
      <c r="L478" s="39" t="str">
        <f aca="false">IF($B478="","",IF($H478="","보유중","청산"))</f>
        <v/>
      </c>
      <c r="M478" s="40" t="str">
        <f aca="false">IF($B478="","",$E478*$F478)</f>
        <v/>
      </c>
      <c r="N478" s="40" t="str">
        <f aca="false">IF($L478="청산",$I478*$F478,"")</f>
        <v/>
      </c>
      <c r="O478" s="40" t="str">
        <f aca="false">IF($B478="","",$G478+$J478+$K478)</f>
        <v/>
      </c>
      <c r="P478" s="41" t="str">
        <f aca="false">IF($L478="청산",$N478-$M478-$O478,"")</f>
        <v/>
      </c>
      <c r="Q478" s="42" t="str">
        <f aca="false">IF($L478="청산",IF($M478=0,"",$P478/$M478),"")</f>
        <v/>
      </c>
      <c r="R478" s="43" t="str">
        <f aca="true">IF($B478="","",IF($L478="청산",$H478-$D478,IF($D478="","",TODAY()-$D478)))</f>
        <v/>
      </c>
      <c r="S478" s="44" t="str">
        <f aca="false">IF($L478="청산",DATE(YEAR($H478),MONTH($H478),1),"")</f>
        <v/>
      </c>
      <c r="T478" s="48"/>
      <c r="U478" s="49"/>
      <c r="V478" s="46" t="str">
        <f aca="false">IF($B478="","",IF($L478&lt;&gt;"청산",N(V477),IF($P478&gt;0,N(V477)+1,0)))</f>
        <v/>
      </c>
      <c r="W478" s="46" t="str">
        <f aca="false">IF($B478="","",IF($L478&lt;&gt;"청산",N(W477),IF($P478&lt;0,N(W477)+1,0)))</f>
        <v/>
      </c>
    </row>
    <row r="479" customFormat="false" ht="15" hidden="false" customHeight="false" outlineLevel="0" collapsed="false">
      <c r="A479" s="32" t="str">
        <f aca="false">IF($B479="","",ROW()-5)</f>
        <v/>
      </c>
      <c r="B479" s="48"/>
      <c r="C479" s="49"/>
      <c r="D479" s="50"/>
      <c r="E479" s="51"/>
      <c r="F479" s="52"/>
      <c r="G479" s="53"/>
      <c r="H479" s="50"/>
      <c r="I479" s="51"/>
      <c r="J479" s="53"/>
      <c r="K479" s="53"/>
      <c r="L479" s="39" t="str">
        <f aca="false">IF($B479="","",IF($H479="","보유중","청산"))</f>
        <v/>
      </c>
      <c r="M479" s="40" t="str">
        <f aca="false">IF($B479="","",$E479*$F479)</f>
        <v/>
      </c>
      <c r="N479" s="40" t="str">
        <f aca="false">IF($L479="청산",$I479*$F479,"")</f>
        <v/>
      </c>
      <c r="O479" s="40" t="str">
        <f aca="false">IF($B479="","",$G479+$J479+$K479)</f>
        <v/>
      </c>
      <c r="P479" s="41" t="str">
        <f aca="false">IF($L479="청산",$N479-$M479-$O479,"")</f>
        <v/>
      </c>
      <c r="Q479" s="42" t="str">
        <f aca="false">IF($L479="청산",IF($M479=0,"",$P479/$M479),"")</f>
        <v/>
      </c>
      <c r="R479" s="43" t="str">
        <f aca="true">IF($B479="","",IF($L479="청산",$H479-$D479,IF($D479="","",TODAY()-$D479)))</f>
        <v/>
      </c>
      <c r="S479" s="44" t="str">
        <f aca="false">IF($L479="청산",DATE(YEAR($H479),MONTH($H479),1),"")</f>
        <v/>
      </c>
      <c r="T479" s="48"/>
      <c r="U479" s="49"/>
      <c r="V479" s="46" t="str">
        <f aca="false">IF($B479="","",IF($L479&lt;&gt;"청산",N(V478),IF($P479&gt;0,N(V478)+1,0)))</f>
        <v/>
      </c>
      <c r="W479" s="46" t="str">
        <f aca="false">IF($B479="","",IF($L479&lt;&gt;"청산",N(W478),IF($P479&lt;0,N(W478)+1,0)))</f>
        <v/>
      </c>
    </row>
    <row r="480" customFormat="false" ht="15" hidden="false" customHeight="false" outlineLevel="0" collapsed="false">
      <c r="A480" s="32" t="str">
        <f aca="false">IF($B480="","",ROW()-5)</f>
        <v/>
      </c>
      <c r="B480" s="48"/>
      <c r="C480" s="49"/>
      <c r="D480" s="50"/>
      <c r="E480" s="51"/>
      <c r="F480" s="52"/>
      <c r="G480" s="53"/>
      <c r="H480" s="50"/>
      <c r="I480" s="51"/>
      <c r="J480" s="53"/>
      <c r="K480" s="53"/>
      <c r="L480" s="39" t="str">
        <f aca="false">IF($B480="","",IF($H480="","보유중","청산"))</f>
        <v/>
      </c>
      <c r="M480" s="40" t="str">
        <f aca="false">IF($B480="","",$E480*$F480)</f>
        <v/>
      </c>
      <c r="N480" s="40" t="str">
        <f aca="false">IF($L480="청산",$I480*$F480,"")</f>
        <v/>
      </c>
      <c r="O480" s="40" t="str">
        <f aca="false">IF($B480="","",$G480+$J480+$K480)</f>
        <v/>
      </c>
      <c r="P480" s="41" t="str">
        <f aca="false">IF($L480="청산",$N480-$M480-$O480,"")</f>
        <v/>
      </c>
      <c r="Q480" s="42" t="str">
        <f aca="false">IF($L480="청산",IF($M480=0,"",$P480/$M480),"")</f>
        <v/>
      </c>
      <c r="R480" s="43" t="str">
        <f aca="true">IF($B480="","",IF($L480="청산",$H480-$D480,IF($D480="","",TODAY()-$D480)))</f>
        <v/>
      </c>
      <c r="S480" s="44" t="str">
        <f aca="false">IF($L480="청산",DATE(YEAR($H480),MONTH($H480),1),"")</f>
        <v/>
      </c>
      <c r="T480" s="48"/>
      <c r="U480" s="49"/>
      <c r="V480" s="46" t="str">
        <f aca="false">IF($B480="","",IF($L480&lt;&gt;"청산",N(V479),IF($P480&gt;0,N(V479)+1,0)))</f>
        <v/>
      </c>
      <c r="W480" s="46" t="str">
        <f aca="false">IF($B480="","",IF($L480&lt;&gt;"청산",N(W479),IF($P480&lt;0,N(W479)+1,0)))</f>
        <v/>
      </c>
    </row>
    <row r="481" customFormat="false" ht="15" hidden="false" customHeight="false" outlineLevel="0" collapsed="false">
      <c r="A481" s="32" t="str">
        <f aca="false">IF($B481="","",ROW()-5)</f>
        <v/>
      </c>
      <c r="B481" s="48"/>
      <c r="C481" s="49"/>
      <c r="D481" s="50"/>
      <c r="E481" s="51"/>
      <c r="F481" s="52"/>
      <c r="G481" s="53"/>
      <c r="H481" s="50"/>
      <c r="I481" s="51"/>
      <c r="J481" s="53"/>
      <c r="K481" s="53"/>
      <c r="L481" s="39" t="str">
        <f aca="false">IF($B481="","",IF($H481="","보유중","청산"))</f>
        <v/>
      </c>
      <c r="M481" s="40" t="str">
        <f aca="false">IF($B481="","",$E481*$F481)</f>
        <v/>
      </c>
      <c r="N481" s="40" t="str">
        <f aca="false">IF($L481="청산",$I481*$F481,"")</f>
        <v/>
      </c>
      <c r="O481" s="40" t="str">
        <f aca="false">IF($B481="","",$G481+$J481+$K481)</f>
        <v/>
      </c>
      <c r="P481" s="41" t="str">
        <f aca="false">IF($L481="청산",$N481-$M481-$O481,"")</f>
        <v/>
      </c>
      <c r="Q481" s="42" t="str">
        <f aca="false">IF($L481="청산",IF($M481=0,"",$P481/$M481),"")</f>
        <v/>
      </c>
      <c r="R481" s="43" t="str">
        <f aca="true">IF($B481="","",IF($L481="청산",$H481-$D481,IF($D481="","",TODAY()-$D481)))</f>
        <v/>
      </c>
      <c r="S481" s="44" t="str">
        <f aca="false">IF($L481="청산",DATE(YEAR($H481),MONTH($H481),1),"")</f>
        <v/>
      </c>
      <c r="T481" s="48"/>
      <c r="U481" s="49"/>
      <c r="V481" s="46" t="str">
        <f aca="false">IF($B481="","",IF($L481&lt;&gt;"청산",N(V480),IF($P481&gt;0,N(V480)+1,0)))</f>
        <v/>
      </c>
      <c r="W481" s="46" t="str">
        <f aca="false">IF($B481="","",IF($L481&lt;&gt;"청산",N(W480),IF($P481&lt;0,N(W480)+1,0)))</f>
        <v/>
      </c>
    </row>
    <row r="482" customFormat="false" ht="15" hidden="false" customHeight="false" outlineLevel="0" collapsed="false">
      <c r="A482" s="32" t="str">
        <f aca="false">IF($B482="","",ROW()-5)</f>
        <v/>
      </c>
      <c r="B482" s="48"/>
      <c r="C482" s="49"/>
      <c r="D482" s="50"/>
      <c r="E482" s="51"/>
      <c r="F482" s="52"/>
      <c r="G482" s="53"/>
      <c r="H482" s="50"/>
      <c r="I482" s="51"/>
      <c r="J482" s="53"/>
      <c r="K482" s="53"/>
      <c r="L482" s="39" t="str">
        <f aca="false">IF($B482="","",IF($H482="","보유중","청산"))</f>
        <v/>
      </c>
      <c r="M482" s="40" t="str">
        <f aca="false">IF($B482="","",$E482*$F482)</f>
        <v/>
      </c>
      <c r="N482" s="40" t="str">
        <f aca="false">IF($L482="청산",$I482*$F482,"")</f>
        <v/>
      </c>
      <c r="O482" s="40" t="str">
        <f aca="false">IF($B482="","",$G482+$J482+$K482)</f>
        <v/>
      </c>
      <c r="P482" s="41" t="str">
        <f aca="false">IF($L482="청산",$N482-$M482-$O482,"")</f>
        <v/>
      </c>
      <c r="Q482" s="42" t="str">
        <f aca="false">IF($L482="청산",IF($M482=0,"",$P482/$M482),"")</f>
        <v/>
      </c>
      <c r="R482" s="43" t="str">
        <f aca="true">IF($B482="","",IF($L482="청산",$H482-$D482,IF($D482="","",TODAY()-$D482)))</f>
        <v/>
      </c>
      <c r="S482" s="44" t="str">
        <f aca="false">IF($L482="청산",DATE(YEAR($H482),MONTH($H482),1),"")</f>
        <v/>
      </c>
      <c r="T482" s="48"/>
      <c r="U482" s="49"/>
      <c r="V482" s="46" t="str">
        <f aca="false">IF($B482="","",IF($L482&lt;&gt;"청산",N(V481),IF($P482&gt;0,N(V481)+1,0)))</f>
        <v/>
      </c>
      <c r="W482" s="46" t="str">
        <f aca="false">IF($B482="","",IF($L482&lt;&gt;"청산",N(W481),IF($P482&lt;0,N(W481)+1,0)))</f>
        <v/>
      </c>
    </row>
    <row r="483" customFormat="false" ht="15" hidden="false" customHeight="false" outlineLevel="0" collapsed="false">
      <c r="A483" s="32" t="str">
        <f aca="false">IF($B483="","",ROW()-5)</f>
        <v/>
      </c>
      <c r="B483" s="48"/>
      <c r="C483" s="49"/>
      <c r="D483" s="50"/>
      <c r="E483" s="51"/>
      <c r="F483" s="52"/>
      <c r="G483" s="53"/>
      <c r="H483" s="50"/>
      <c r="I483" s="51"/>
      <c r="J483" s="53"/>
      <c r="K483" s="53"/>
      <c r="L483" s="39" t="str">
        <f aca="false">IF($B483="","",IF($H483="","보유중","청산"))</f>
        <v/>
      </c>
      <c r="M483" s="40" t="str">
        <f aca="false">IF($B483="","",$E483*$F483)</f>
        <v/>
      </c>
      <c r="N483" s="40" t="str">
        <f aca="false">IF($L483="청산",$I483*$F483,"")</f>
        <v/>
      </c>
      <c r="O483" s="40" t="str">
        <f aca="false">IF($B483="","",$G483+$J483+$K483)</f>
        <v/>
      </c>
      <c r="P483" s="41" t="str">
        <f aca="false">IF($L483="청산",$N483-$M483-$O483,"")</f>
        <v/>
      </c>
      <c r="Q483" s="42" t="str">
        <f aca="false">IF($L483="청산",IF($M483=0,"",$P483/$M483),"")</f>
        <v/>
      </c>
      <c r="R483" s="43" t="str">
        <f aca="true">IF($B483="","",IF($L483="청산",$H483-$D483,IF($D483="","",TODAY()-$D483)))</f>
        <v/>
      </c>
      <c r="S483" s="44" t="str">
        <f aca="false">IF($L483="청산",DATE(YEAR($H483),MONTH($H483),1),"")</f>
        <v/>
      </c>
      <c r="T483" s="48"/>
      <c r="U483" s="49"/>
      <c r="V483" s="46" t="str">
        <f aca="false">IF($B483="","",IF($L483&lt;&gt;"청산",N(V482),IF($P483&gt;0,N(V482)+1,0)))</f>
        <v/>
      </c>
      <c r="W483" s="46" t="str">
        <f aca="false">IF($B483="","",IF($L483&lt;&gt;"청산",N(W482),IF($P483&lt;0,N(W482)+1,0)))</f>
        <v/>
      </c>
    </row>
    <row r="484" customFormat="false" ht="15" hidden="false" customHeight="false" outlineLevel="0" collapsed="false">
      <c r="A484" s="32" t="str">
        <f aca="false">IF($B484="","",ROW()-5)</f>
        <v/>
      </c>
      <c r="B484" s="48"/>
      <c r="C484" s="49"/>
      <c r="D484" s="50"/>
      <c r="E484" s="51"/>
      <c r="F484" s="52"/>
      <c r="G484" s="53"/>
      <c r="H484" s="50"/>
      <c r="I484" s="51"/>
      <c r="J484" s="53"/>
      <c r="K484" s="53"/>
      <c r="L484" s="39" t="str">
        <f aca="false">IF($B484="","",IF($H484="","보유중","청산"))</f>
        <v/>
      </c>
      <c r="M484" s="40" t="str">
        <f aca="false">IF($B484="","",$E484*$F484)</f>
        <v/>
      </c>
      <c r="N484" s="40" t="str">
        <f aca="false">IF($L484="청산",$I484*$F484,"")</f>
        <v/>
      </c>
      <c r="O484" s="40" t="str">
        <f aca="false">IF($B484="","",$G484+$J484+$K484)</f>
        <v/>
      </c>
      <c r="P484" s="41" t="str">
        <f aca="false">IF($L484="청산",$N484-$M484-$O484,"")</f>
        <v/>
      </c>
      <c r="Q484" s="42" t="str">
        <f aca="false">IF($L484="청산",IF($M484=0,"",$P484/$M484),"")</f>
        <v/>
      </c>
      <c r="R484" s="43" t="str">
        <f aca="true">IF($B484="","",IF($L484="청산",$H484-$D484,IF($D484="","",TODAY()-$D484)))</f>
        <v/>
      </c>
      <c r="S484" s="44" t="str">
        <f aca="false">IF($L484="청산",DATE(YEAR($H484),MONTH($H484),1),"")</f>
        <v/>
      </c>
      <c r="T484" s="48"/>
      <c r="U484" s="49"/>
      <c r="V484" s="46" t="str">
        <f aca="false">IF($B484="","",IF($L484&lt;&gt;"청산",N(V483),IF($P484&gt;0,N(V483)+1,0)))</f>
        <v/>
      </c>
      <c r="W484" s="46" t="str">
        <f aca="false">IF($B484="","",IF($L484&lt;&gt;"청산",N(W483),IF($P484&lt;0,N(W483)+1,0)))</f>
        <v/>
      </c>
    </row>
    <row r="485" customFormat="false" ht="15" hidden="false" customHeight="false" outlineLevel="0" collapsed="false">
      <c r="A485" s="32" t="str">
        <f aca="false">IF($B485="","",ROW()-5)</f>
        <v/>
      </c>
      <c r="B485" s="48"/>
      <c r="C485" s="49"/>
      <c r="D485" s="50"/>
      <c r="E485" s="51"/>
      <c r="F485" s="52"/>
      <c r="G485" s="53"/>
      <c r="H485" s="50"/>
      <c r="I485" s="51"/>
      <c r="J485" s="53"/>
      <c r="K485" s="53"/>
      <c r="L485" s="39" t="str">
        <f aca="false">IF($B485="","",IF($H485="","보유중","청산"))</f>
        <v/>
      </c>
      <c r="M485" s="40" t="str">
        <f aca="false">IF($B485="","",$E485*$F485)</f>
        <v/>
      </c>
      <c r="N485" s="40" t="str">
        <f aca="false">IF($L485="청산",$I485*$F485,"")</f>
        <v/>
      </c>
      <c r="O485" s="40" t="str">
        <f aca="false">IF($B485="","",$G485+$J485+$K485)</f>
        <v/>
      </c>
      <c r="P485" s="41" t="str">
        <f aca="false">IF($L485="청산",$N485-$M485-$O485,"")</f>
        <v/>
      </c>
      <c r="Q485" s="42" t="str">
        <f aca="false">IF($L485="청산",IF($M485=0,"",$P485/$M485),"")</f>
        <v/>
      </c>
      <c r="R485" s="43" t="str">
        <f aca="true">IF($B485="","",IF($L485="청산",$H485-$D485,IF($D485="","",TODAY()-$D485)))</f>
        <v/>
      </c>
      <c r="S485" s="44" t="str">
        <f aca="false">IF($L485="청산",DATE(YEAR($H485),MONTH($H485),1),"")</f>
        <v/>
      </c>
      <c r="T485" s="48"/>
      <c r="U485" s="49"/>
      <c r="V485" s="46" t="str">
        <f aca="false">IF($B485="","",IF($L485&lt;&gt;"청산",N(V484),IF($P485&gt;0,N(V484)+1,0)))</f>
        <v/>
      </c>
      <c r="W485" s="46" t="str">
        <f aca="false">IF($B485="","",IF($L485&lt;&gt;"청산",N(W484),IF($P485&lt;0,N(W484)+1,0)))</f>
        <v/>
      </c>
    </row>
    <row r="486" customFormat="false" ht="15" hidden="false" customHeight="false" outlineLevel="0" collapsed="false">
      <c r="A486" s="32" t="str">
        <f aca="false">IF($B486="","",ROW()-5)</f>
        <v/>
      </c>
      <c r="B486" s="48"/>
      <c r="C486" s="49"/>
      <c r="D486" s="50"/>
      <c r="E486" s="51"/>
      <c r="F486" s="52"/>
      <c r="G486" s="53"/>
      <c r="H486" s="50"/>
      <c r="I486" s="51"/>
      <c r="J486" s="53"/>
      <c r="K486" s="53"/>
      <c r="L486" s="39" t="str">
        <f aca="false">IF($B486="","",IF($H486="","보유중","청산"))</f>
        <v/>
      </c>
      <c r="M486" s="40" t="str">
        <f aca="false">IF($B486="","",$E486*$F486)</f>
        <v/>
      </c>
      <c r="N486" s="40" t="str">
        <f aca="false">IF($L486="청산",$I486*$F486,"")</f>
        <v/>
      </c>
      <c r="O486" s="40" t="str">
        <f aca="false">IF($B486="","",$G486+$J486+$K486)</f>
        <v/>
      </c>
      <c r="P486" s="41" t="str">
        <f aca="false">IF($L486="청산",$N486-$M486-$O486,"")</f>
        <v/>
      </c>
      <c r="Q486" s="42" t="str">
        <f aca="false">IF($L486="청산",IF($M486=0,"",$P486/$M486),"")</f>
        <v/>
      </c>
      <c r="R486" s="43" t="str">
        <f aca="true">IF($B486="","",IF($L486="청산",$H486-$D486,IF($D486="","",TODAY()-$D486)))</f>
        <v/>
      </c>
      <c r="S486" s="44" t="str">
        <f aca="false">IF($L486="청산",DATE(YEAR($H486),MONTH($H486),1),"")</f>
        <v/>
      </c>
      <c r="T486" s="48"/>
      <c r="U486" s="49"/>
      <c r="V486" s="46" t="str">
        <f aca="false">IF($B486="","",IF($L486&lt;&gt;"청산",N(V485),IF($P486&gt;0,N(V485)+1,0)))</f>
        <v/>
      </c>
      <c r="W486" s="46" t="str">
        <f aca="false">IF($B486="","",IF($L486&lt;&gt;"청산",N(W485),IF($P486&lt;0,N(W485)+1,0)))</f>
        <v/>
      </c>
    </row>
    <row r="487" customFormat="false" ht="15" hidden="false" customHeight="false" outlineLevel="0" collapsed="false">
      <c r="A487" s="32" t="str">
        <f aca="false">IF($B487="","",ROW()-5)</f>
        <v/>
      </c>
      <c r="B487" s="48"/>
      <c r="C487" s="49"/>
      <c r="D487" s="50"/>
      <c r="E487" s="51"/>
      <c r="F487" s="52"/>
      <c r="G487" s="53"/>
      <c r="H487" s="50"/>
      <c r="I487" s="51"/>
      <c r="J487" s="53"/>
      <c r="K487" s="53"/>
      <c r="L487" s="39" t="str">
        <f aca="false">IF($B487="","",IF($H487="","보유중","청산"))</f>
        <v/>
      </c>
      <c r="M487" s="40" t="str">
        <f aca="false">IF($B487="","",$E487*$F487)</f>
        <v/>
      </c>
      <c r="N487" s="40" t="str">
        <f aca="false">IF($L487="청산",$I487*$F487,"")</f>
        <v/>
      </c>
      <c r="O487" s="40" t="str">
        <f aca="false">IF($B487="","",$G487+$J487+$K487)</f>
        <v/>
      </c>
      <c r="P487" s="41" t="str">
        <f aca="false">IF($L487="청산",$N487-$M487-$O487,"")</f>
        <v/>
      </c>
      <c r="Q487" s="42" t="str">
        <f aca="false">IF($L487="청산",IF($M487=0,"",$P487/$M487),"")</f>
        <v/>
      </c>
      <c r="R487" s="43" t="str">
        <f aca="true">IF($B487="","",IF($L487="청산",$H487-$D487,IF($D487="","",TODAY()-$D487)))</f>
        <v/>
      </c>
      <c r="S487" s="44" t="str">
        <f aca="false">IF($L487="청산",DATE(YEAR($H487),MONTH($H487),1),"")</f>
        <v/>
      </c>
      <c r="T487" s="48"/>
      <c r="U487" s="49"/>
      <c r="V487" s="46" t="str">
        <f aca="false">IF($B487="","",IF($L487&lt;&gt;"청산",N(V486),IF($P487&gt;0,N(V486)+1,0)))</f>
        <v/>
      </c>
      <c r="W487" s="46" t="str">
        <f aca="false">IF($B487="","",IF($L487&lt;&gt;"청산",N(W486),IF($P487&lt;0,N(W486)+1,0)))</f>
        <v/>
      </c>
    </row>
    <row r="488" customFormat="false" ht="15" hidden="false" customHeight="false" outlineLevel="0" collapsed="false">
      <c r="A488" s="32" t="str">
        <f aca="false">IF($B488="","",ROW()-5)</f>
        <v/>
      </c>
      <c r="B488" s="48"/>
      <c r="C488" s="49"/>
      <c r="D488" s="50"/>
      <c r="E488" s="51"/>
      <c r="F488" s="52"/>
      <c r="G488" s="53"/>
      <c r="H488" s="50"/>
      <c r="I488" s="51"/>
      <c r="J488" s="53"/>
      <c r="K488" s="53"/>
      <c r="L488" s="39" t="str">
        <f aca="false">IF($B488="","",IF($H488="","보유중","청산"))</f>
        <v/>
      </c>
      <c r="M488" s="40" t="str">
        <f aca="false">IF($B488="","",$E488*$F488)</f>
        <v/>
      </c>
      <c r="N488" s="40" t="str">
        <f aca="false">IF($L488="청산",$I488*$F488,"")</f>
        <v/>
      </c>
      <c r="O488" s="40" t="str">
        <f aca="false">IF($B488="","",$G488+$J488+$K488)</f>
        <v/>
      </c>
      <c r="P488" s="41" t="str">
        <f aca="false">IF($L488="청산",$N488-$M488-$O488,"")</f>
        <v/>
      </c>
      <c r="Q488" s="42" t="str">
        <f aca="false">IF($L488="청산",IF($M488=0,"",$P488/$M488),"")</f>
        <v/>
      </c>
      <c r="R488" s="43" t="str">
        <f aca="true">IF($B488="","",IF($L488="청산",$H488-$D488,IF($D488="","",TODAY()-$D488)))</f>
        <v/>
      </c>
      <c r="S488" s="44" t="str">
        <f aca="false">IF($L488="청산",DATE(YEAR($H488),MONTH($H488),1),"")</f>
        <v/>
      </c>
      <c r="T488" s="48"/>
      <c r="U488" s="49"/>
      <c r="V488" s="46" t="str">
        <f aca="false">IF($B488="","",IF($L488&lt;&gt;"청산",N(V487),IF($P488&gt;0,N(V487)+1,0)))</f>
        <v/>
      </c>
      <c r="W488" s="46" t="str">
        <f aca="false">IF($B488="","",IF($L488&lt;&gt;"청산",N(W487),IF($P488&lt;0,N(W487)+1,0)))</f>
        <v/>
      </c>
    </row>
    <row r="489" customFormat="false" ht="15" hidden="false" customHeight="false" outlineLevel="0" collapsed="false">
      <c r="A489" s="32" t="str">
        <f aca="false">IF($B489="","",ROW()-5)</f>
        <v/>
      </c>
      <c r="B489" s="48"/>
      <c r="C489" s="49"/>
      <c r="D489" s="50"/>
      <c r="E489" s="51"/>
      <c r="F489" s="52"/>
      <c r="G489" s="53"/>
      <c r="H489" s="50"/>
      <c r="I489" s="51"/>
      <c r="J489" s="53"/>
      <c r="K489" s="53"/>
      <c r="L489" s="39" t="str">
        <f aca="false">IF($B489="","",IF($H489="","보유중","청산"))</f>
        <v/>
      </c>
      <c r="M489" s="40" t="str">
        <f aca="false">IF($B489="","",$E489*$F489)</f>
        <v/>
      </c>
      <c r="N489" s="40" t="str">
        <f aca="false">IF($L489="청산",$I489*$F489,"")</f>
        <v/>
      </c>
      <c r="O489" s="40" t="str">
        <f aca="false">IF($B489="","",$G489+$J489+$K489)</f>
        <v/>
      </c>
      <c r="P489" s="41" t="str">
        <f aca="false">IF($L489="청산",$N489-$M489-$O489,"")</f>
        <v/>
      </c>
      <c r="Q489" s="42" t="str">
        <f aca="false">IF($L489="청산",IF($M489=0,"",$P489/$M489),"")</f>
        <v/>
      </c>
      <c r="R489" s="43" t="str">
        <f aca="true">IF($B489="","",IF($L489="청산",$H489-$D489,IF($D489="","",TODAY()-$D489)))</f>
        <v/>
      </c>
      <c r="S489" s="44" t="str">
        <f aca="false">IF($L489="청산",DATE(YEAR($H489),MONTH($H489),1),"")</f>
        <v/>
      </c>
      <c r="T489" s="48"/>
      <c r="U489" s="49"/>
      <c r="V489" s="46" t="str">
        <f aca="false">IF($B489="","",IF($L489&lt;&gt;"청산",N(V488),IF($P489&gt;0,N(V488)+1,0)))</f>
        <v/>
      </c>
      <c r="W489" s="46" t="str">
        <f aca="false">IF($B489="","",IF($L489&lt;&gt;"청산",N(W488),IF($P489&lt;0,N(W488)+1,0)))</f>
        <v/>
      </c>
    </row>
    <row r="490" customFormat="false" ht="15" hidden="false" customHeight="false" outlineLevel="0" collapsed="false">
      <c r="A490" s="32" t="str">
        <f aca="false">IF($B490="","",ROW()-5)</f>
        <v/>
      </c>
      <c r="B490" s="48"/>
      <c r="C490" s="49"/>
      <c r="D490" s="50"/>
      <c r="E490" s="51"/>
      <c r="F490" s="52"/>
      <c r="G490" s="53"/>
      <c r="H490" s="50"/>
      <c r="I490" s="51"/>
      <c r="J490" s="53"/>
      <c r="K490" s="53"/>
      <c r="L490" s="39" t="str">
        <f aca="false">IF($B490="","",IF($H490="","보유중","청산"))</f>
        <v/>
      </c>
      <c r="M490" s="40" t="str">
        <f aca="false">IF($B490="","",$E490*$F490)</f>
        <v/>
      </c>
      <c r="N490" s="40" t="str">
        <f aca="false">IF($L490="청산",$I490*$F490,"")</f>
        <v/>
      </c>
      <c r="O490" s="40" t="str">
        <f aca="false">IF($B490="","",$G490+$J490+$K490)</f>
        <v/>
      </c>
      <c r="P490" s="41" t="str">
        <f aca="false">IF($L490="청산",$N490-$M490-$O490,"")</f>
        <v/>
      </c>
      <c r="Q490" s="42" t="str">
        <f aca="false">IF($L490="청산",IF($M490=0,"",$P490/$M490),"")</f>
        <v/>
      </c>
      <c r="R490" s="43" t="str">
        <f aca="true">IF($B490="","",IF($L490="청산",$H490-$D490,IF($D490="","",TODAY()-$D490)))</f>
        <v/>
      </c>
      <c r="S490" s="44" t="str">
        <f aca="false">IF($L490="청산",DATE(YEAR($H490),MONTH($H490),1),"")</f>
        <v/>
      </c>
      <c r="T490" s="48"/>
      <c r="U490" s="49"/>
      <c r="V490" s="46" t="str">
        <f aca="false">IF($B490="","",IF($L490&lt;&gt;"청산",N(V489),IF($P490&gt;0,N(V489)+1,0)))</f>
        <v/>
      </c>
      <c r="W490" s="46" t="str">
        <f aca="false">IF($B490="","",IF($L490&lt;&gt;"청산",N(W489),IF($P490&lt;0,N(W489)+1,0)))</f>
        <v/>
      </c>
    </row>
    <row r="491" customFormat="false" ht="15" hidden="false" customHeight="false" outlineLevel="0" collapsed="false">
      <c r="A491" s="32" t="str">
        <f aca="false">IF($B491="","",ROW()-5)</f>
        <v/>
      </c>
      <c r="B491" s="48"/>
      <c r="C491" s="49"/>
      <c r="D491" s="50"/>
      <c r="E491" s="51"/>
      <c r="F491" s="52"/>
      <c r="G491" s="53"/>
      <c r="H491" s="50"/>
      <c r="I491" s="51"/>
      <c r="J491" s="53"/>
      <c r="K491" s="53"/>
      <c r="L491" s="39" t="str">
        <f aca="false">IF($B491="","",IF($H491="","보유중","청산"))</f>
        <v/>
      </c>
      <c r="M491" s="40" t="str">
        <f aca="false">IF($B491="","",$E491*$F491)</f>
        <v/>
      </c>
      <c r="N491" s="40" t="str">
        <f aca="false">IF($L491="청산",$I491*$F491,"")</f>
        <v/>
      </c>
      <c r="O491" s="40" t="str">
        <f aca="false">IF($B491="","",$G491+$J491+$K491)</f>
        <v/>
      </c>
      <c r="P491" s="41" t="str">
        <f aca="false">IF($L491="청산",$N491-$M491-$O491,"")</f>
        <v/>
      </c>
      <c r="Q491" s="42" t="str">
        <f aca="false">IF($L491="청산",IF($M491=0,"",$P491/$M491),"")</f>
        <v/>
      </c>
      <c r="R491" s="43" t="str">
        <f aca="true">IF($B491="","",IF($L491="청산",$H491-$D491,IF($D491="","",TODAY()-$D491)))</f>
        <v/>
      </c>
      <c r="S491" s="44" t="str">
        <f aca="false">IF($L491="청산",DATE(YEAR($H491),MONTH($H491),1),"")</f>
        <v/>
      </c>
      <c r="T491" s="48"/>
      <c r="U491" s="49"/>
      <c r="V491" s="46" t="str">
        <f aca="false">IF($B491="","",IF($L491&lt;&gt;"청산",N(V490),IF($P491&gt;0,N(V490)+1,0)))</f>
        <v/>
      </c>
      <c r="W491" s="46" t="str">
        <f aca="false">IF($B491="","",IF($L491&lt;&gt;"청산",N(W490),IF($P491&lt;0,N(W490)+1,0)))</f>
        <v/>
      </c>
    </row>
    <row r="492" customFormat="false" ht="15" hidden="false" customHeight="false" outlineLevel="0" collapsed="false">
      <c r="A492" s="32" t="str">
        <f aca="false">IF($B492="","",ROW()-5)</f>
        <v/>
      </c>
      <c r="B492" s="48"/>
      <c r="C492" s="49"/>
      <c r="D492" s="50"/>
      <c r="E492" s="51"/>
      <c r="F492" s="52"/>
      <c r="G492" s="53"/>
      <c r="H492" s="50"/>
      <c r="I492" s="51"/>
      <c r="J492" s="53"/>
      <c r="K492" s="53"/>
      <c r="L492" s="39" t="str">
        <f aca="false">IF($B492="","",IF($H492="","보유중","청산"))</f>
        <v/>
      </c>
      <c r="M492" s="40" t="str">
        <f aca="false">IF($B492="","",$E492*$F492)</f>
        <v/>
      </c>
      <c r="N492" s="40" t="str">
        <f aca="false">IF($L492="청산",$I492*$F492,"")</f>
        <v/>
      </c>
      <c r="O492" s="40" t="str">
        <f aca="false">IF($B492="","",$G492+$J492+$K492)</f>
        <v/>
      </c>
      <c r="P492" s="41" t="str">
        <f aca="false">IF($L492="청산",$N492-$M492-$O492,"")</f>
        <v/>
      </c>
      <c r="Q492" s="42" t="str">
        <f aca="false">IF($L492="청산",IF($M492=0,"",$P492/$M492),"")</f>
        <v/>
      </c>
      <c r="R492" s="43" t="str">
        <f aca="true">IF($B492="","",IF($L492="청산",$H492-$D492,IF($D492="","",TODAY()-$D492)))</f>
        <v/>
      </c>
      <c r="S492" s="44" t="str">
        <f aca="false">IF($L492="청산",DATE(YEAR($H492),MONTH($H492),1),"")</f>
        <v/>
      </c>
      <c r="T492" s="48"/>
      <c r="U492" s="49"/>
      <c r="V492" s="46" t="str">
        <f aca="false">IF($B492="","",IF($L492&lt;&gt;"청산",N(V491),IF($P492&gt;0,N(V491)+1,0)))</f>
        <v/>
      </c>
      <c r="W492" s="46" t="str">
        <f aca="false">IF($B492="","",IF($L492&lt;&gt;"청산",N(W491),IF($P492&lt;0,N(W491)+1,0)))</f>
        <v/>
      </c>
    </row>
    <row r="493" customFormat="false" ht="15" hidden="false" customHeight="false" outlineLevel="0" collapsed="false">
      <c r="A493" s="32" t="str">
        <f aca="false">IF($B493="","",ROW()-5)</f>
        <v/>
      </c>
      <c r="B493" s="48"/>
      <c r="C493" s="49"/>
      <c r="D493" s="50"/>
      <c r="E493" s="51"/>
      <c r="F493" s="52"/>
      <c r="G493" s="53"/>
      <c r="H493" s="50"/>
      <c r="I493" s="51"/>
      <c r="J493" s="53"/>
      <c r="K493" s="53"/>
      <c r="L493" s="39" t="str">
        <f aca="false">IF($B493="","",IF($H493="","보유중","청산"))</f>
        <v/>
      </c>
      <c r="M493" s="40" t="str">
        <f aca="false">IF($B493="","",$E493*$F493)</f>
        <v/>
      </c>
      <c r="N493" s="40" t="str">
        <f aca="false">IF($L493="청산",$I493*$F493,"")</f>
        <v/>
      </c>
      <c r="O493" s="40" t="str">
        <f aca="false">IF($B493="","",$G493+$J493+$K493)</f>
        <v/>
      </c>
      <c r="P493" s="41" t="str">
        <f aca="false">IF($L493="청산",$N493-$M493-$O493,"")</f>
        <v/>
      </c>
      <c r="Q493" s="42" t="str">
        <f aca="false">IF($L493="청산",IF($M493=0,"",$P493/$M493),"")</f>
        <v/>
      </c>
      <c r="R493" s="43" t="str">
        <f aca="true">IF($B493="","",IF($L493="청산",$H493-$D493,IF($D493="","",TODAY()-$D493)))</f>
        <v/>
      </c>
      <c r="S493" s="44" t="str">
        <f aca="false">IF($L493="청산",DATE(YEAR($H493),MONTH($H493),1),"")</f>
        <v/>
      </c>
      <c r="T493" s="48"/>
      <c r="U493" s="49"/>
      <c r="V493" s="46" t="str">
        <f aca="false">IF($B493="","",IF($L493&lt;&gt;"청산",N(V492),IF($P493&gt;0,N(V492)+1,0)))</f>
        <v/>
      </c>
      <c r="W493" s="46" t="str">
        <f aca="false">IF($B493="","",IF($L493&lt;&gt;"청산",N(W492),IF($P493&lt;0,N(W492)+1,0)))</f>
        <v/>
      </c>
    </row>
    <row r="494" customFormat="false" ht="15" hidden="false" customHeight="false" outlineLevel="0" collapsed="false">
      <c r="A494" s="32" t="str">
        <f aca="false">IF($B494="","",ROW()-5)</f>
        <v/>
      </c>
      <c r="B494" s="48"/>
      <c r="C494" s="49"/>
      <c r="D494" s="50"/>
      <c r="E494" s="51"/>
      <c r="F494" s="52"/>
      <c r="G494" s="53"/>
      <c r="H494" s="50"/>
      <c r="I494" s="51"/>
      <c r="J494" s="53"/>
      <c r="K494" s="53"/>
      <c r="L494" s="39" t="str">
        <f aca="false">IF($B494="","",IF($H494="","보유중","청산"))</f>
        <v/>
      </c>
      <c r="M494" s="40" t="str">
        <f aca="false">IF($B494="","",$E494*$F494)</f>
        <v/>
      </c>
      <c r="N494" s="40" t="str">
        <f aca="false">IF($L494="청산",$I494*$F494,"")</f>
        <v/>
      </c>
      <c r="O494" s="40" t="str">
        <f aca="false">IF($B494="","",$G494+$J494+$K494)</f>
        <v/>
      </c>
      <c r="P494" s="41" t="str">
        <f aca="false">IF($L494="청산",$N494-$M494-$O494,"")</f>
        <v/>
      </c>
      <c r="Q494" s="42" t="str">
        <f aca="false">IF($L494="청산",IF($M494=0,"",$P494/$M494),"")</f>
        <v/>
      </c>
      <c r="R494" s="43" t="str">
        <f aca="true">IF($B494="","",IF($L494="청산",$H494-$D494,IF($D494="","",TODAY()-$D494)))</f>
        <v/>
      </c>
      <c r="S494" s="44" t="str">
        <f aca="false">IF($L494="청산",DATE(YEAR($H494),MONTH($H494),1),"")</f>
        <v/>
      </c>
      <c r="T494" s="48"/>
      <c r="U494" s="49"/>
      <c r="V494" s="46" t="str">
        <f aca="false">IF($B494="","",IF($L494&lt;&gt;"청산",N(V493),IF($P494&gt;0,N(V493)+1,0)))</f>
        <v/>
      </c>
      <c r="W494" s="46" t="str">
        <f aca="false">IF($B494="","",IF($L494&lt;&gt;"청산",N(W493),IF($P494&lt;0,N(W493)+1,0)))</f>
        <v/>
      </c>
    </row>
    <row r="495" customFormat="false" ht="15" hidden="false" customHeight="false" outlineLevel="0" collapsed="false">
      <c r="A495" s="32" t="str">
        <f aca="false">IF($B495="","",ROW()-5)</f>
        <v/>
      </c>
      <c r="B495" s="48"/>
      <c r="C495" s="49"/>
      <c r="D495" s="50"/>
      <c r="E495" s="51"/>
      <c r="F495" s="52"/>
      <c r="G495" s="53"/>
      <c r="H495" s="50"/>
      <c r="I495" s="51"/>
      <c r="J495" s="53"/>
      <c r="K495" s="53"/>
      <c r="L495" s="39" t="str">
        <f aca="false">IF($B495="","",IF($H495="","보유중","청산"))</f>
        <v/>
      </c>
      <c r="M495" s="40" t="str">
        <f aca="false">IF($B495="","",$E495*$F495)</f>
        <v/>
      </c>
      <c r="N495" s="40" t="str">
        <f aca="false">IF($L495="청산",$I495*$F495,"")</f>
        <v/>
      </c>
      <c r="O495" s="40" t="str">
        <f aca="false">IF($B495="","",$G495+$J495+$K495)</f>
        <v/>
      </c>
      <c r="P495" s="41" t="str">
        <f aca="false">IF($L495="청산",$N495-$M495-$O495,"")</f>
        <v/>
      </c>
      <c r="Q495" s="42" t="str">
        <f aca="false">IF($L495="청산",IF($M495=0,"",$P495/$M495),"")</f>
        <v/>
      </c>
      <c r="R495" s="43" t="str">
        <f aca="true">IF($B495="","",IF($L495="청산",$H495-$D495,IF($D495="","",TODAY()-$D495)))</f>
        <v/>
      </c>
      <c r="S495" s="44" t="str">
        <f aca="false">IF($L495="청산",DATE(YEAR($H495),MONTH($H495),1),"")</f>
        <v/>
      </c>
      <c r="T495" s="48"/>
      <c r="U495" s="49"/>
      <c r="V495" s="46" t="str">
        <f aca="false">IF($B495="","",IF($L495&lt;&gt;"청산",N(V494),IF($P495&gt;0,N(V494)+1,0)))</f>
        <v/>
      </c>
      <c r="W495" s="46" t="str">
        <f aca="false">IF($B495="","",IF($L495&lt;&gt;"청산",N(W494),IF($P495&lt;0,N(W494)+1,0)))</f>
        <v/>
      </c>
    </row>
    <row r="496" customFormat="false" ht="15" hidden="false" customHeight="false" outlineLevel="0" collapsed="false">
      <c r="A496" s="32" t="str">
        <f aca="false">IF($B496="","",ROW()-5)</f>
        <v/>
      </c>
      <c r="B496" s="48"/>
      <c r="C496" s="49"/>
      <c r="D496" s="50"/>
      <c r="E496" s="51"/>
      <c r="F496" s="52"/>
      <c r="G496" s="53"/>
      <c r="H496" s="50"/>
      <c r="I496" s="51"/>
      <c r="J496" s="53"/>
      <c r="K496" s="53"/>
      <c r="L496" s="39" t="str">
        <f aca="false">IF($B496="","",IF($H496="","보유중","청산"))</f>
        <v/>
      </c>
      <c r="M496" s="40" t="str">
        <f aca="false">IF($B496="","",$E496*$F496)</f>
        <v/>
      </c>
      <c r="N496" s="40" t="str">
        <f aca="false">IF($L496="청산",$I496*$F496,"")</f>
        <v/>
      </c>
      <c r="O496" s="40" t="str">
        <f aca="false">IF($B496="","",$G496+$J496+$K496)</f>
        <v/>
      </c>
      <c r="P496" s="41" t="str">
        <f aca="false">IF($L496="청산",$N496-$M496-$O496,"")</f>
        <v/>
      </c>
      <c r="Q496" s="42" t="str">
        <f aca="false">IF($L496="청산",IF($M496=0,"",$P496/$M496),"")</f>
        <v/>
      </c>
      <c r="R496" s="43" t="str">
        <f aca="true">IF($B496="","",IF($L496="청산",$H496-$D496,IF($D496="","",TODAY()-$D496)))</f>
        <v/>
      </c>
      <c r="S496" s="44" t="str">
        <f aca="false">IF($L496="청산",DATE(YEAR($H496),MONTH($H496),1),"")</f>
        <v/>
      </c>
      <c r="T496" s="48"/>
      <c r="U496" s="49"/>
      <c r="V496" s="46" t="str">
        <f aca="false">IF($B496="","",IF($L496&lt;&gt;"청산",N(V495),IF($P496&gt;0,N(V495)+1,0)))</f>
        <v/>
      </c>
      <c r="W496" s="46" t="str">
        <f aca="false">IF($B496="","",IF($L496&lt;&gt;"청산",N(W495),IF($P496&lt;0,N(W495)+1,0)))</f>
        <v/>
      </c>
    </row>
    <row r="497" customFormat="false" ht="15" hidden="false" customHeight="false" outlineLevel="0" collapsed="false">
      <c r="A497" s="32" t="str">
        <f aca="false">IF($B497="","",ROW()-5)</f>
        <v/>
      </c>
      <c r="B497" s="48"/>
      <c r="C497" s="49"/>
      <c r="D497" s="50"/>
      <c r="E497" s="51"/>
      <c r="F497" s="52"/>
      <c r="G497" s="53"/>
      <c r="H497" s="50"/>
      <c r="I497" s="51"/>
      <c r="J497" s="53"/>
      <c r="K497" s="53"/>
      <c r="L497" s="39" t="str">
        <f aca="false">IF($B497="","",IF($H497="","보유중","청산"))</f>
        <v/>
      </c>
      <c r="M497" s="40" t="str">
        <f aca="false">IF($B497="","",$E497*$F497)</f>
        <v/>
      </c>
      <c r="N497" s="40" t="str">
        <f aca="false">IF($L497="청산",$I497*$F497,"")</f>
        <v/>
      </c>
      <c r="O497" s="40" t="str">
        <f aca="false">IF($B497="","",$G497+$J497+$K497)</f>
        <v/>
      </c>
      <c r="P497" s="41" t="str">
        <f aca="false">IF($L497="청산",$N497-$M497-$O497,"")</f>
        <v/>
      </c>
      <c r="Q497" s="42" t="str">
        <f aca="false">IF($L497="청산",IF($M497=0,"",$P497/$M497),"")</f>
        <v/>
      </c>
      <c r="R497" s="43" t="str">
        <f aca="true">IF($B497="","",IF($L497="청산",$H497-$D497,IF($D497="","",TODAY()-$D497)))</f>
        <v/>
      </c>
      <c r="S497" s="44" t="str">
        <f aca="false">IF($L497="청산",DATE(YEAR($H497),MONTH($H497),1),"")</f>
        <v/>
      </c>
      <c r="T497" s="48"/>
      <c r="U497" s="49"/>
      <c r="V497" s="46" t="str">
        <f aca="false">IF($B497="","",IF($L497&lt;&gt;"청산",N(V496),IF($P497&gt;0,N(V496)+1,0)))</f>
        <v/>
      </c>
      <c r="W497" s="46" t="str">
        <f aca="false">IF($B497="","",IF($L497&lt;&gt;"청산",N(W496),IF($P497&lt;0,N(W496)+1,0)))</f>
        <v/>
      </c>
    </row>
    <row r="498" customFormat="false" ht="15" hidden="false" customHeight="false" outlineLevel="0" collapsed="false">
      <c r="A498" s="32" t="str">
        <f aca="false">IF($B498="","",ROW()-5)</f>
        <v/>
      </c>
      <c r="B498" s="48"/>
      <c r="C498" s="49"/>
      <c r="D498" s="50"/>
      <c r="E498" s="51"/>
      <c r="F498" s="52"/>
      <c r="G498" s="53"/>
      <c r="H498" s="50"/>
      <c r="I498" s="51"/>
      <c r="J498" s="53"/>
      <c r="K498" s="53"/>
      <c r="L498" s="39" t="str">
        <f aca="false">IF($B498="","",IF($H498="","보유중","청산"))</f>
        <v/>
      </c>
      <c r="M498" s="40" t="str">
        <f aca="false">IF($B498="","",$E498*$F498)</f>
        <v/>
      </c>
      <c r="N498" s="40" t="str">
        <f aca="false">IF($L498="청산",$I498*$F498,"")</f>
        <v/>
      </c>
      <c r="O498" s="40" t="str">
        <f aca="false">IF($B498="","",$G498+$J498+$K498)</f>
        <v/>
      </c>
      <c r="P498" s="41" t="str">
        <f aca="false">IF($L498="청산",$N498-$M498-$O498,"")</f>
        <v/>
      </c>
      <c r="Q498" s="42" t="str">
        <f aca="false">IF($L498="청산",IF($M498=0,"",$P498/$M498),"")</f>
        <v/>
      </c>
      <c r="R498" s="43" t="str">
        <f aca="true">IF($B498="","",IF($L498="청산",$H498-$D498,IF($D498="","",TODAY()-$D498)))</f>
        <v/>
      </c>
      <c r="S498" s="44" t="str">
        <f aca="false">IF($L498="청산",DATE(YEAR($H498),MONTH($H498),1),"")</f>
        <v/>
      </c>
      <c r="T498" s="48"/>
      <c r="U498" s="49"/>
      <c r="V498" s="46" t="str">
        <f aca="false">IF($B498="","",IF($L498&lt;&gt;"청산",N(V497),IF($P498&gt;0,N(V497)+1,0)))</f>
        <v/>
      </c>
      <c r="W498" s="46" t="str">
        <f aca="false">IF($B498="","",IF($L498&lt;&gt;"청산",N(W497),IF($P498&lt;0,N(W497)+1,0)))</f>
        <v/>
      </c>
    </row>
    <row r="499" customFormat="false" ht="15" hidden="false" customHeight="false" outlineLevel="0" collapsed="false">
      <c r="A499" s="32" t="str">
        <f aca="false">IF($B499="","",ROW()-5)</f>
        <v/>
      </c>
      <c r="B499" s="48"/>
      <c r="C499" s="49"/>
      <c r="D499" s="50"/>
      <c r="E499" s="51"/>
      <c r="F499" s="52"/>
      <c r="G499" s="53"/>
      <c r="H499" s="50"/>
      <c r="I499" s="51"/>
      <c r="J499" s="53"/>
      <c r="K499" s="53"/>
      <c r="L499" s="39" t="str">
        <f aca="false">IF($B499="","",IF($H499="","보유중","청산"))</f>
        <v/>
      </c>
      <c r="M499" s="40" t="str">
        <f aca="false">IF($B499="","",$E499*$F499)</f>
        <v/>
      </c>
      <c r="N499" s="40" t="str">
        <f aca="false">IF($L499="청산",$I499*$F499,"")</f>
        <v/>
      </c>
      <c r="O499" s="40" t="str">
        <f aca="false">IF($B499="","",$G499+$J499+$K499)</f>
        <v/>
      </c>
      <c r="P499" s="41" t="str">
        <f aca="false">IF($L499="청산",$N499-$M499-$O499,"")</f>
        <v/>
      </c>
      <c r="Q499" s="42" t="str">
        <f aca="false">IF($L499="청산",IF($M499=0,"",$P499/$M499),"")</f>
        <v/>
      </c>
      <c r="R499" s="43" t="str">
        <f aca="true">IF($B499="","",IF($L499="청산",$H499-$D499,IF($D499="","",TODAY()-$D499)))</f>
        <v/>
      </c>
      <c r="S499" s="44" t="str">
        <f aca="false">IF($L499="청산",DATE(YEAR($H499),MONTH($H499),1),"")</f>
        <v/>
      </c>
      <c r="T499" s="48"/>
      <c r="U499" s="49"/>
      <c r="V499" s="46" t="str">
        <f aca="false">IF($B499="","",IF($L499&lt;&gt;"청산",N(V498),IF($P499&gt;0,N(V498)+1,0)))</f>
        <v/>
      </c>
      <c r="W499" s="46" t="str">
        <f aca="false">IF($B499="","",IF($L499&lt;&gt;"청산",N(W498),IF($P499&lt;0,N(W498)+1,0)))</f>
        <v/>
      </c>
    </row>
    <row r="500" customFormat="false" ht="15" hidden="false" customHeight="false" outlineLevel="0" collapsed="false">
      <c r="A500" s="32" t="str">
        <f aca="false">IF($B500="","",ROW()-5)</f>
        <v/>
      </c>
      <c r="B500" s="48"/>
      <c r="C500" s="49"/>
      <c r="D500" s="50"/>
      <c r="E500" s="51"/>
      <c r="F500" s="52"/>
      <c r="G500" s="53"/>
      <c r="H500" s="50"/>
      <c r="I500" s="51"/>
      <c r="J500" s="53"/>
      <c r="K500" s="53"/>
      <c r="L500" s="39" t="str">
        <f aca="false">IF($B500="","",IF($H500="","보유중","청산"))</f>
        <v/>
      </c>
      <c r="M500" s="40" t="str">
        <f aca="false">IF($B500="","",$E500*$F500)</f>
        <v/>
      </c>
      <c r="N500" s="40" t="str">
        <f aca="false">IF($L500="청산",$I500*$F500,"")</f>
        <v/>
      </c>
      <c r="O500" s="40" t="str">
        <f aca="false">IF($B500="","",$G500+$J500+$K500)</f>
        <v/>
      </c>
      <c r="P500" s="41" t="str">
        <f aca="false">IF($L500="청산",$N500-$M500-$O500,"")</f>
        <v/>
      </c>
      <c r="Q500" s="42" t="str">
        <f aca="false">IF($L500="청산",IF($M500=0,"",$P500/$M500),"")</f>
        <v/>
      </c>
      <c r="R500" s="43" t="str">
        <f aca="true">IF($B500="","",IF($L500="청산",$H500-$D500,IF($D500="","",TODAY()-$D500)))</f>
        <v/>
      </c>
      <c r="S500" s="44" t="str">
        <f aca="false">IF($L500="청산",DATE(YEAR($H500),MONTH($H500),1),"")</f>
        <v/>
      </c>
      <c r="T500" s="48"/>
      <c r="U500" s="49"/>
      <c r="V500" s="46" t="str">
        <f aca="false">IF($B500="","",IF($L500&lt;&gt;"청산",N(V499),IF($P500&gt;0,N(V499)+1,0)))</f>
        <v/>
      </c>
      <c r="W500" s="46" t="str">
        <f aca="false">IF($B500="","",IF($L500&lt;&gt;"청산",N(W499),IF($P500&lt;0,N(W499)+1,0)))</f>
        <v/>
      </c>
    </row>
    <row r="501" customFormat="false" ht="15" hidden="false" customHeight="false" outlineLevel="0" collapsed="false">
      <c r="A501" s="32" t="str">
        <f aca="false">IF($B501="","",ROW()-5)</f>
        <v/>
      </c>
      <c r="B501" s="48"/>
      <c r="C501" s="49"/>
      <c r="D501" s="50"/>
      <c r="E501" s="51"/>
      <c r="F501" s="52"/>
      <c r="G501" s="53"/>
      <c r="H501" s="50"/>
      <c r="I501" s="51"/>
      <c r="J501" s="53"/>
      <c r="K501" s="53"/>
      <c r="L501" s="39" t="str">
        <f aca="false">IF($B501="","",IF($H501="","보유중","청산"))</f>
        <v/>
      </c>
      <c r="M501" s="40" t="str">
        <f aca="false">IF($B501="","",$E501*$F501)</f>
        <v/>
      </c>
      <c r="N501" s="40" t="str">
        <f aca="false">IF($L501="청산",$I501*$F501,"")</f>
        <v/>
      </c>
      <c r="O501" s="40" t="str">
        <f aca="false">IF($B501="","",$G501+$J501+$K501)</f>
        <v/>
      </c>
      <c r="P501" s="41" t="str">
        <f aca="false">IF($L501="청산",$N501-$M501-$O501,"")</f>
        <v/>
      </c>
      <c r="Q501" s="42" t="str">
        <f aca="false">IF($L501="청산",IF($M501=0,"",$P501/$M501),"")</f>
        <v/>
      </c>
      <c r="R501" s="43" t="str">
        <f aca="true">IF($B501="","",IF($L501="청산",$H501-$D501,IF($D501="","",TODAY()-$D501)))</f>
        <v/>
      </c>
      <c r="S501" s="44" t="str">
        <f aca="false">IF($L501="청산",DATE(YEAR($H501),MONTH($H501),1),"")</f>
        <v/>
      </c>
      <c r="T501" s="48"/>
      <c r="U501" s="49"/>
      <c r="V501" s="46" t="str">
        <f aca="false">IF($B501="","",IF($L501&lt;&gt;"청산",N(V500),IF($P501&gt;0,N(V500)+1,0)))</f>
        <v/>
      </c>
      <c r="W501" s="46" t="str">
        <f aca="false">IF($B501="","",IF($L501&lt;&gt;"청산",N(W500),IF($P501&lt;0,N(W500)+1,0)))</f>
        <v/>
      </c>
    </row>
    <row r="502" customFormat="false" ht="15" hidden="false" customHeight="false" outlineLevel="0" collapsed="false">
      <c r="A502" s="32" t="str">
        <f aca="false">IF($B502="","",ROW()-5)</f>
        <v/>
      </c>
      <c r="B502" s="48"/>
      <c r="C502" s="49"/>
      <c r="D502" s="50"/>
      <c r="E502" s="51"/>
      <c r="F502" s="52"/>
      <c r="G502" s="53"/>
      <c r="H502" s="50"/>
      <c r="I502" s="51"/>
      <c r="J502" s="53"/>
      <c r="K502" s="53"/>
      <c r="L502" s="39" t="str">
        <f aca="false">IF($B502="","",IF($H502="","보유중","청산"))</f>
        <v/>
      </c>
      <c r="M502" s="40" t="str">
        <f aca="false">IF($B502="","",$E502*$F502)</f>
        <v/>
      </c>
      <c r="N502" s="40" t="str">
        <f aca="false">IF($L502="청산",$I502*$F502,"")</f>
        <v/>
      </c>
      <c r="O502" s="40" t="str">
        <f aca="false">IF($B502="","",$G502+$J502+$K502)</f>
        <v/>
      </c>
      <c r="P502" s="41" t="str">
        <f aca="false">IF($L502="청산",$N502-$M502-$O502,"")</f>
        <v/>
      </c>
      <c r="Q502" s="42" t="str">
        <f aca="false">IF($L502="청산",IF($M502=0,"",$P502/$M502),"")</f>
        <v/>
      </c>
      <c r="R502" s="43" t="str">
        <f aca="true">IF($B502="","",IF($L502="청산",$H502-$D502,IF($D502="","",TODAY()-$D502)))</f>
        <v/>
      </c>
      <c r="S502" s="44" t="str">
        <f aca="false">IF($L502="청산",DATE(YEAR($H502),MONTH($H502),1),"")</f>
        <v/>
      </c>
      <c r="T502" s="48"/>
      <c r="U502" s="49"/>
      <c r="V502" s="46" t="str">
        <f aca="false">IF($B502="","",IF($L502&lt;&gt;"청산",N(V501),IF($P502&gt;0,N(V501)+1,0)))</f>
        <v/>
      </c>
      <c r="W502" s="46" t="str">
        <f aca="false">IF($B502="","",IF($L502&lt;&gt;"청산",N(W501),IF($P502&lt;0,N(W501)+1,0)))</f>
        <v/>
      </c>
    </row>
    <row r="503" customFormat="false" ht="15" hidden="false" customHeight="false" outlineLevel="0" collapsed="false">
      <c r="A503" s="32" t="str">
        <f aca="false">IF($B503="","",ROW()-5)</f>
        <v/>
      </c>
      <c r="B503" s="48"/>
      <c r="C503" s="49"/>
      <c r="D503" s="50"/>
      <c r="E503" s="51"/>
      <c r="F503" s="52"/>
      <c r="G503" s="53"/>
      <c r="H503" s="50"/>
      <c r="I503" s="51"/>
      <c r="J503" s="53"/>
      <c r="K503" s="53"/>
      <c r="L503" s="39" t="str">
        <f aca="false">IF($B503="","",IF($H503="","보유중","청산"))</f>
        <v/>
      </c>
      <c r="M503" s="40" t="str">
        <f aca="false">IF($B503="","",$E503*$F503)</f>
        <v/>
      </c>
      <c r="N503" s="40" t="str">
        <f aca="false">IF($L503="청산",$I503*$F503,"")</f>
        <v/>
      </c>
      <c r="O503" s="40" t="str">
        <f aca="false">IF($B503="","",$G503+$J503+$K503)</f>
        <v/>
      </c>
      <c r="P503" s="41" t="str">
        <f aca="false">IF($L503="청산",$N503-$M503-$O503,"")</f>
        <v/>
      </c>
      <c r="Q503" s="42" t="str">
        <f aca="false">IF($L503="청산",IF($M503=0,"",$P503/$M503),"")</f>
        <v/>
      </c>
      <c r="R503" s="43" t="str">
        <f aca="true">IF($B503="","",IF($L503="청산",$H503-$D503,IF($D503="","",TODAY()-$D503)))</f>
        <v/>
      </c>
      <c r="S503" s="44" t="str">
        <f aca="false">IF($L503="청산",DATE(YEAR($H503),MONTH($H503),1),"")</f>
        <v/>
      </c>
      <c r="T503" s="48"/>
      <c r="U503" s="49"/>
      <c r="V503" s="46" t="str">
        <f aca="false">IF($B503="","",IF($L503&lt;&gt;"청산",N(V502),IF($P503&gt;0,N(V502)+1,0)))</f>
        <v/>
      </c>
      <c r="W503" s="46" t="str">
        <f aca="false">IF($B503="","",IF($L503&lt;&gt;"청산",N(W502),IF($P503&lt;0,N(W502)+1,0)))</f>
        <v/>
      </c>
    </row>
    <row r="504" customFormat="false" ht="15" hidden="false" customHeight="false" outlineLevel="0" collapsed="false">
      <c r="A504" s="32" t="str">
        <f aca="false">IF($B504="","",ROW()-5)</f>
        <v/>
      </c>
      <c r="B504" s="48"/>
      <c r="C504" s="49"/>
      <c r="D504" s="50"/>
      <c r="E504" s="51"/>
      <c r="F504" s="52"/>
      <c r="G504" s="53"/>
      <c r="H504" s="50"/>
      <c r="I504" s="51"/>
      <c r="J504" s="53"/>
      <c r="K504" s="53"/>
      <c r="L504" s="39" t="str">
        <f aca="false">IF($B504="","",IF($H504="","보유중","청산"))</f>
        <v/>
      </c>
      <c r="M504" s="40" t="str">
        <f aca="false">IF($B504="","",$E504*$F504)</f>
        <v/>
      </c>
      <c r="N504" s="40" t="str">
        <f aca="false">IF($L504="청산",$I504*$F504,"")</f>
        <v/>
      </c>
      <c r="O504" s="40" t="str">
        <f aca="false">IF($B504="","",$G504+$J504+$K504)</f>
        <v/>
      </c>
      <c r="P504" s="41" t="str">
        <f aca="false">IF($L504="청산",$N504-$M504-$O504,"")</f>
        <v/>
      </c>
      <c r="Q504" s="42" t="str">
        <f aca="false">IF($L504="청산",IF($M504=0,"",$P504/$M504),"")</f>
        <v/>
      </c>
      <c r="R504" s="43" t="str">
        <f aca="true">IF($B504="","",IF($L504="청산",$H504-$D504,IF($D504="","",TODAY()-$D504)))</f>
        <v/>
      </c>
      <c r="S504" s="44" t="str">
        <f aca="false">IF($L504="청산",DATE(YEAR($H504),MONTH($H504),1),"")</f>
        <v/>
      </c>
      <c r="T504" s="48"/>
      <c r="U504" s="49"/>
      <c r="V504" s="46" t="str">
        <f aca="false">IF($B504="","",IF($L504&lt;&gt;"청산",N(V503),IF($P504&gt;0,N(V503)+1,0)))</f>
        <v/>
      </c>
      <c r="W504" s="46" t="str">
        <f aca="false">IF($B504="","",IF($L504&lt;&gt;"청산",N(W503),IF($P504&lt;0,N(W503)+1,0)))</f>
        <v/>
      </c>
    </row>
    <row r="505" customFormat="false" ht="15" hidden="false" customHeight="false" outlineLevel="0" collapsed="false">
      <c r="A505" s="32" t="str">
        <f aca="false">IF($B505="","",ROW()-5)</f>
        <v/>
      </c>
      <c r="B505" s="48"/>
      <c r="C505" s="49"/>
      <c r="D505" s="50"/>
      <c r="E505" s="51"/>
      <c r="F505" s="52"/>
      <c r="G505" s="53"/>
      <c r="H505" s="50"/>
      <c r="I505" s="51"/>
      <c r="J505" s="53"/>
      <c r="K505" s="53"/>
      <c r="L505" s="39" t="str">
        <f aca="false">IF($B505="","",IF($H505="","보유중","청산"))</f>
        <v/>
      </c>
      <c r="M505" s="40" t="str">
        <f aca="false">IF($B505="","",$E505*$F505)</f>
        <v/>
      </c>
      <c r="N505" s="40" t="str">
        <f aca="false">IF($L505="청산",$I505*$F505,"")</f>
        <v/>
      </c>
      <c r="O505" s="40" t="str">
        <f aca="false">IF($B505="","",$G505+$J505+$K505)</f>
        <v/>
      </c>
      <c r="P505" s="41" t="str">
        <f aca="false">IF($L505="청산",$N505-$M505-$O505,"")</f>
        <v/>
      </c>
      <c r="Q505" s="42" t="str">
        <f aca="false">IF($L505="청산",IF($M505=0,"",$P505/$M505),"")</f>
        <v/>
      </c>
      <c r="R505" s="43" t="str">
        <f aca="true">IF($B505="","",IF($L505="청산",$H505-$D505,IF($D505="","",TODAY()-$D505)))</f>
        <v/>
      </c>
      <c r="S505" s="44" t="str">
        <f aca="false">IF($L505="청산",DATE(YEAR($H505),MONTH($H505),1),"")</f>
        <v/>
      </c>
      <c r="T505" s="48"/>
      <c r="U505" s="49"/>
      <c r="V505" s="46" t="str">
        <f aca="false">IF($B505="","",IF($L505&lt;&gt;"청산",N(V504),IF($P505&gt;0,N(V504)+1,0)))</f>
        <v/>
      </c>
      <c r="W505" s="46" t="str">
        <f aca="false">IF($B505="","",IF($L505&lt;&gt;"청산",N(W504),IF($P505&lt;0,N(W504)+1,0)))</f>
        <v/>
      </c>
    </row>
    <row r="506" customFormat="false" ht="15" hidden="false" customHeight="false" outlineLevel="0" collapsed="false">
      <c r="A506" s="54"/>
      <c r="B506" s="54"/>
      <c r="C506" s="55" t="s">
        <v>127</v>
      </c>
      <c r="D506" s="55"/>
      <c r="E506" s="55"/>
      <c r="F506" s="55"/>
      <c r="G506" s="55"/>
      <c r="H506" s="55"/>
      <c r="I506" s="55"/>
      <c r="J506" s="55"/>
      <c r="K506" s="55"/>
      <c r="L506" s="55"/>
      <c r="M506" s="56" t="n">
        <f aca="false">SUM(M$6:M$505)</f>
        <v>5540000</v>
      </c>
      <c r="N506" s="56" t="n">
        <f aca="false">SUM(N$6:N$505)</f>
        <v>3859000</v>
      </c>
      <c r="O506" s="56" t="n">
        <f aca="false">SUM(O$6:O$505)</f>
        <v>8356</v>
      </c>
      <c r="P506" s="56" t="n">
        <f aca="false">SUM(P$6:P$505)</f>
        <v>90911</v>
      </c>
      <c r="Q506" s="57" t="n">
        <f aca="false">IFERROR(P506/SUMIF($L$6:$L$505,"청산",$M$6:$M$505),"")</f>
        <v>0.0241784574468085</v>
      </c>
      <c r="R506" s="58" t="n">
        <f aca="false">IFERROR(AVERAGEIFS($R$6:$R$505,$L$6:$L$505,"청산"),"")</f>
        <v>16</v>
      </c>
      <c r="S506" s="55"/>
      <c r="T506" s="55"/>
      <c r="U506" s="55"/>
      <c r="V506" s="55"/>
      <c r="W506" s="55"/>
    </row>
  </sheetData>
  <autoFilter ref="A5:W505"/>
  <mergeCells count="2">
    <mergeCell ref="A1:W1"/>
    <mergeCell ref="A3:W3"/>
  </mergeCells>
  <conditionalFormatting sqref="P6:P505">
    <cfRule type="cellIs" priority="2" operator="greaterThan" aboveAverage="0" equalAverage="0" bottom="0" percent="0" rank="0" text="" dxfId="15">
      <formula>0</formula>
    </cfRule>
    <cfRule type="cellIs" priority="3" operator="lessThan" aboveAverage="0" equalAverage="0" bottom="0" percent="0" rank="0" text="" dxfId="16">
      <formula>0</formula>
    </cfRule>
  </conditionalFormatting>
  <conditionalFormatting sqref="Q6:Q505">
    <cfRule type="cellIs" priority="4" operator="greaterThan" aboveAverage="0" equalAverage="0" bottom="0" percent="0" rank="0" text="" dxfId="15">
      <formula>0</formula>
    </cfRule>
    <cfRule type="cellIs" priority="5" operator="lessThan" aboveAverage="0" equalAverage="0" bottom="0" percent="0" rank="0" text="" dxfId="16">
      <formula>0</formula>
    </cfRule>
  </conditionalFormatting>
  <conditionalFormatting sqref="L6:L505">
    <cfRule type="cellIs" priority="6" operator="equal" aboveAverage="0" equalAverage="0" bottom="0" percent="0" rank="0" text="" dxfId="17">
      <formula>"보유중"</formula>
    </cfRule>
  </conditionalFormatting>
  <dataValidations count="1">
    <dataValidation allowBlank="true" error="설정 시트의 '매매유형 선택지'에 있는 값 중에서 고를 것." errorStyle="stop" errorTitle="매매유형 값 오류" operator="between" showDropDown="false" showErrorMessage="false" showInputMessage="false" sqref="T6:T505" type="list">
      <formula1>"돌파,눌림목,추세추종,실적,배당,테마,분할매수,역추세,기타"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2"/>
    <col collapsed="false" customWidth="true" hidden="false" outlineLevel="0" max="4" min="3" style="0" width="15"/>
    <col collapsed="false" customWidth="true" hidden="false" outlineLevel="0" max="5" min="5" style="0" width="22"/>
    <col collapsed="false" customWidth="true" hidden="false" outlineLevel="0" max="7" min="6" style="0" width="15"/>
    <col collapsed="false" customWidth="true" hidden="false" outlineLevel="0" max="8" min="8" style="0" width="22"/>
    <col collapsed="false" customWidth="true" hidden="false" outlineLevel="0" max="9" min="9" style="0" width="15"/>
    <col collapsed="false" customWidth="true" hidden="false" outlineLevel="0" max="10" min="10" style="0" width="3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4" min="13" style="0" width="14"/>
    <col collapsed="false" customWidth="true" hidden="false" outlineLevel="0" max="15" min="15" style="0" width="10"/>
    <col collapsed="false" customWidth="true" hidden="false" outlineLevel="0" max="17" min="16" style="0" width="13"/>
    <col collapsed="false" customWidth="true" hidden="false" outlineLevel="0" max="18" min="18" style="0" width="11"/>
  </cols>
  <sheetData>
    <row r="2" customFormat="false" ht="25.5" hidden="false" customHeight="true" outlineLevel="0" collapsed="false">
      <c r="B2" s="1" t="s">
        <v>128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B3" s="59" t="s">
        <v>129</v>
      </c>
      <c r="C3" s="60" t="n">
        <f aca="true">TODAY()</f>
        <v>46267</v>
      </c>
      <c r="E3" s="61" t="s">
        <v>130</v>
      </c>
    </row>
    <row r="5" customFormat="false" ht="15" hidden="false" customHeight="false" outlineLevel="0" collapsed="false">
      <c r="B5" s="18" t="s">
        <v>131</v>
      </c>
      <c r="C5" s="19"/>
      <c r="E5" s="18" t="s">
        <v>132</v>
      </c>
      <c r="F5" s="19"/>
      <c r="H5" s="18" t="s">
        <v>133</v>
      </c>
      <c r="I5" s="19"/>
    </row>
    <row r="6" customFormat="false" ht="15" hidden="false" customHeight="false" outlineLevel="0" collapsed="false">
      <c r="B6" s="62" t="s">
        <v>134</v>
      </c>
      <c r="C6" s="63" t="n">
        <f aca="false">COUNTIF(거래장부_스윙트레이딩!$L$6:$L$505,"청산")</f>
        <v>2</v>
      </c>
      <c r="E6" s="62" t="s">
        <v>135</v>
      </c>
      <c r="F6" s="64" t="n">
        <f aca="false">IFERROR(AVERAGEIF(거래장부_스윙트레이딩!$P$6:$P$505,"&gt;0"),0)</f>
        <v>190336</v>
      </c>
      <c r="H6" s="62" t="s">
        <v>136</v>
      </c>
      <c r="I6" s="64" t="n">
        <f aca="false">IFERROR(MAX(거래장부_스윙트레이딩!$P$6:$P$505),0)</f>
        <v>190336</v>
      </c>
    </row>
    <row r="7" customFormat="false" ht="15" hidden="false" customHeight="false" outlineLevel="0" collapsed="false">
      <c r="B7" s="62" t="s">
        <v>137</v>
      </c>
      <c r="C7" s="63" t="n">
        <f aca="false">COUNTIF(거래장부_스윙트레이딩!$L$6:$L$505,"보유중")</f>
        <v>1</v>
      </c>
      <c r="E7" s="62" t="s">
        <v>138</v>
      </c>
      <c r="F7" s="65" t="n">
        <f aca="false">IFERROR(AVERAGEIF(거래장부_스윙트레이딩!$P$6:$P$505,"&lt;0"),0)</f>
        <v>-99425</v>
      </c>
      <c r="H7" s="62" t="s">
        <v>139</v>
      </c>
      <c r="I7" s="66" t="str">
        <f aca="false">IFERROR(INDEX(거래장부_스윙트레이딩!$C$6:$C$505,MATCH(MAX(거래장부_스윙트레이딩!$P$6:$P$505),거래장부_스윙트레이딩!$P$6:$P$505,0)),"-")</f>
        <v>삼성전자</v>
      </c>
    </row>
    <row r="8" customFormat="false" ht="15" hidden="false" customHeight="false" outlineLevel="0" collapsed="false">
      <c r="B8" s="62" t="s">
        <v>140</v>
      </c>
      <c r="C8" s="63" t="n">
        <f aca="false">COUNTIF(거래장부_스윙트레이딩!$P$6:$P$505,"&gt;0")</f>
        <v>1</v>
      </c>
      <c r="E8" s="62" t="s">
        <v>141</v>
      </c>
      <c r="F8" s="67" t="n">
        <f aca="false">IFERROR($F$6/ABS($F$7),0)</f>
        <v>1.91436761377923</v>
      </c>
      <c r="H8" s="62" t="s">
        <v>142</v>
      </c>
      <c r="I8" s="65" t="n">
        <f aca="false">IFERROR(MIN(거래장부_스윙트레이딩!$P$6:$P$505),0)</f>
        <v>-99425</v>
      </c>
    </row>
    <row r="9" customFormat="false" ht="15" hidden="false" customHeight="false" outlineLevel="0" collapsed="false">
      <c r="B9" s="62" t="s">
        <v>143</v>
      </c>
      <c r="C9" s="63" t="n">
        <f aca="false">COUNTIF(거래장부_스윙트레이딩!$P$6:$P$505,"&lt;0")</f>
        <v>1</v>
      </c>
      <c r="E9" s="62" t="s">
        <v>144</v>
      </c>
      <c r="F9" s="68" t="n">
        <f aca="false">IFERROR(AVERAGE(거래장부_스윙트레이딩!$Q$6:$Q$505),0)</f>
        <v>0.0177483641130871</v>
      </c>
      <c r="H9" s="62" t="s">
        <v>139</v>
      </c>
      <c r="I9" s="66" t="str">
        <f aca="false">IFERROR(INDEX(거래장부_스윙트레이딩!$C$6:$C$505,MATCH(MIN(거래장부_스윙트레이딩!$P$6:$P$505),거래장부_스윙트레이딩!$P$6:$P$505,0)),"-")</f>
        <v>NAVER</v>
      </c>
    </row>
    <row r="10" customFormat="false" ht="15" hidden="false" customHeight="false" outlineLevel="0" collapsed="false">
      <c r="B10" s="62" t="s">
        <v>37</v>
      </c>
      <c r="C10" s="69" t="n">
        <f aca="false">IFERROR($C$8/$C$6,0)</f>
        <v>0.5</v>
      </c>
      <c r="E10" s="62" t="s">
        <v>145</v>
      </c>
      <c r="F10" s="68" t="n">
        <f aca="false">IFERROR(AVERAGEIFS(거래장부_스윙트레이딩!$Q$6:$Q$505,거래장부_스윙트레이딩!$P$6:$P$505,"&gt;0"),0)</f>
        <v>0.0933019607843137</v>
      </c>
      <c r="H10" s="62" t="s">
        <v>146</v>
      </c>
      <c r="I10" s="68" t="n">
        <f aca="false">IFERROR(MAX(거래장부_스윙트레이딩!$Q$6:$Q$505),0)</f>
        <v>0.0933019607843137</v>
      </c>
    </row>
    <row r="11" customFormat="false" ht="15" hidden="false" customHeight="false" outlineLevel="0" collapsed="false">
      <c r="B11" s="62" t="s">
        <v>147</v>
      </c>
      <c r="C11" s="65" t="n">
        <f aca="false">SUM(거래장부_스윙트레이딩!$P$6:$P$505)</f>
        <v>90911</v>
      </c>
      <c r="E11" s="62" t="s">
        <v>148</v>
      </c>
      <c r="F11" s="68" t="n">
        <f aca="false">IFERROR(AVERAGEIFS(거래장부_스윙트레이딩!$Q$6:$Q$505,거래장부_스윙트레이딩!$P$6:$P$505,"&lt;0"),0)</f>
        <v>-0.0578052325581395</v>
      </c>
      <c r="H11" s="62" t="s">
        <v>149</v>
      </c>
      <c r="I11" s="68" t="n">
        <f aca="false">IFERROR(MIN(거래장부_스윙트레이딩!$Q$6:$Q$505),0)</f>
        <v>-0.0578052325581395</v>
      </c>
    </row>
    <row r="12" customFormat="false" ht="15" hidden="false" customHeight="false" outlineLevel="0" collapsed="false">
      <c r="B12" s="62" t="s">
        <v>150</v>
      </c>
      <c r="C12" s="64" t="n">
        <f aca="false">SUMIF(거래장부_스윙트레이딩!$P$6:$P$505,"&gt;0")</f>
        <v>190336</v>
      </c>
      <c r="E12" s="62" t="s">
        <v>151</v>
      </c>
      <c r="F12" s="70" t="n">
        <f aca="false">IFERROR(AVERAGEIFS(거래장부_스윙트레이딩!$R$6:$R$505,거래장부_스윙트레이딩!$L$6:$L$505,"청산"),0)</f>
        <v>16</v>
      </c>
      <c r="H12" s="62" t="s">
        <v>152</v>
      </c>
      <c r="I12" s="63" t="n">
        <f aca="false">IFERROR(_xlfn.MAXIFS(거래장부_스윙트레이딩!$R$6:$R$505,거래장부_스윙트레이딩!$L$6:$L$505,"청산"),0)</f>
        <v>25</v>
      </c>
    </row>
    <row r="13" customFormat="false" ht="15" hidden="false" customHeight="false" outlineLevel="0" collapsed="false">
      <c r="B13" s="62" t="s">
        <v>153</v>
      </c>
      <c r="C13" s="65" t="n">
        <f aca="false">SUMIF(거래장부_스윙트레이딩!$P$6:$P$505,"&lt;0")</f>
        <v>-99425</v>
      </c>
      <c r="E13" s="62" t="s">
        <v>154</v>
      </c>
      <c r="F13" s="70" t="n">
        <f aca="false">IFERROR(AVERAGEIFS(거래장부_스윙트레이딩!$R$6:$R$505,거래장부_스윙트레이딩!$P$6:$P$505,"&gt;0"),0)</f>
        <v>25</v>
      </c>
      <c r="H13" s="62" t="s">
        <v>155</v>
      </c>
      <c r="I13" s="64" t="n">
        <f aca="false">SUM(거래장부_스윙트레이딩!$M$6:$M$505)</f>
        <v>5540000</v>
      </c>
    </row>
    <row r="14" customFormat="false" ht="15" hidden="false" customHeight="false" outlineLevel="0" collapsed="false">
      <c r="B14" s="62" t="s">
        <v>156</v>
      </c>
      <c r="C14" s="67" t="n">
        <f aca="false">IFERROR($C$12/ABS($C$13),0)</f>
        <v>1.91436761377923</v>
      </c>
      <c r="E14" s="62" t="s">
        <v>157</v>
      </c>
      <c r="F14" s="70" t="n">
        <f aca="false">IFERROR(AVERAGEIFS(거래장부_스윙트레이딩!$R$6:$R$505,거래장부_스윙트레이딩!$P$6:$P$505,"&lt;0"),0)</f>
        <v>7</v>
      </c>
      <c r="H14" s="62" t="s">
        <v>158</v>
      </c>
      <c r="I14" s="64" t="n">
        <f aca="false">SUMIF(거래장부_스윙트레이딩!$L$6:$L$505,"보유중",거래장부_스윙트레이딩!$M$6:$M$505)</f>
        <v>1780000</v>
      </c>
    </row>
    <row r="15" customFormat="false" ht="15" hidden="false" customHeight="false" outlineLevel="0" collapsed="false">
      <c r="B15" s="62" t="s">
        <v>159</v>
      </c>
      <c r="C15" s="65" t="n">
        <f aca="false">IFERROR($C$11/$C$6,0)</f>
        <v>45455.5</v>
      </c>
      <c r="E15" s="62" t="s">
        <v>160</v>
      </c>
      <c r="F15" s="63" t="n">
        <f aca="false">IFERROR(MAX(거래장부_스윙트레이딩!$V$6:$V$505),0)</f>
        <v>1</v>
      </c>
      <c r="H15" s="62" t="s">
        <v>161</v>
      </c>
      <c r="I15" s="68" t="n">
        <f aca="false">IFERROR($C$11/설정!$C$7,0)</f>
        <v>0.02272775</v>
      </c>
    </row>
    <row r="16" customFormat="false" ht="15" hidden="false" customHeight="false" outlineLevel="0" collapsed="false">
      <c r="B16" s="62" t="s">
        <v>162</v>
      </c>
      <c r="C16" s="64" t="n">
        <f aca="false">SUM(거래장부_스윙트레이딩!$O$6:$O$505)</f>
        <v>8356</v>
      </c>
      <c r="E16" s="62" t="s">
        <v>163</v>
      </c>
      <c r="F16" s="63" t="n">
        <f aca="false">IFERROR(MAX(거래장부_스윙트레이딩!$W$6:$W$505),0)</f>
        <v>1</v>
      </c>
      <c r="H16" s="62" t="s">
        <v>164</v>
      </c>
      <c r="I16" s="69" t="n">
        <f aca="false">IFERROR($C$16/$C$12,0)</f>
        <v>0.0439013113651648</v>
      </c>
    </row>
    <row r="19" customFormat="false" ht="15" hidden="false" customHeight="false" outlineLevel="0" collapsed="false">
      <c r="B19" s="18" t="s">
        <v>165</v>
      </c>
      <c r="C19" s="19"/>
      <c r="D19" s="19"/>
      <c r="E19" s="19"/>
      <c r="F19" s="19"/>
      <c r="G19" s="19"/>
      <c r="H19" s="19"/>
      <c r="I19" s="19"/>
    </row>
    <row r="20" customFormat="false" ht="30" hidden="false" customHeight="true" outlineLevel="0" collapsed="false">
      <c r="B20" s="7" t="s">
        <v>166</v>
      </c>
      <c r="C20" s="7" t="s">
        <v>167</v>
      </c>
      <c r="D20" s="7" t="s">
        <v>168</v>
      </c>
      <c r="E20" s="7" t="s">
        <v>169</v>
      </c>
      <c r="F20" s="7" t="s">
        <v>37</v>
      </c>
      <c r="G20" s="7" t="s">
        <v>170</v>
      </c>
      <c r="H20" s="7" t="s">
        <v>171</v>
      </c>
      <c r="I20" s="7" t="s">
        <v>172</v>
      </c>
    </row>
    <row r="21" customFormat="false" ht="15" hidden="false" customHeight="false" outlineLevel="0" collapsed="false">
      <c r="B21" s="71" t="n">
        <f aca="false">DATE(YEAR(설정!$C$8),MONTH(설정!$C$8),1)</f>
        <v>45931</v>
      </c>
      <c r="C21" s="72" t="n">
        <f aca="false">COUNTIFS(거래장부_스윙트레이딩!$S$6:$S$505,$B21)</f>
        <v>0</v>
      </c>
      <c r="D21" s="73" t="n">
        <f aca="false">SUMIFS(거래장부_스윙트레이딩!$P$6:$P$505,거래장부_스윙트레이딩!$S$6:$S$505,$B21)</f>
        <v>0</v>
      </c>
      <c r="E21" s="73" t="n">
        <f aca="false">SUM($D$21:$D21)</f>
        <v>0</v>
      </c>
      <c r="F21" s="74" t="str">
        <f aca="false">IFERROR(COUNTIFS(거래장부_스윙트레이딩!$S$6:$S$505,$B21,거래장부_스윙트레이딩!$P$6:$P$505,"&gt;0")/$C21,"")</f>
        <v/>
      </c>
      <c r="G21" s="75" t="n">
        <f aca="false">IFERROR(_xlfn.MAXIFS(거래장부_스윙트레이딩!$P$6:$P$505,거래장부_스윙트레이딩!$S$6:$S$505,$B21),0)</f>
        <v>0</v>
      </c>
      <c r="H21" s="73" t="n">
        <f aca="false">IFERROR(_xlfn.MINIFS(거래장부_스윙트레이딩!$P$6:$P$505,거래장부_스윙트레이딩!$S$6:$S$505,$B21),0)</f>
        <v>0</v>
      </c>
      <c r="I21" s="76" t="str">
        <f aca="false">IFERROR(AVERAGEIFS(거래장부_스윙트레이딩!$Q$6:$Q$505,거래장부_스윙트레이딩!$S$6:$S$505,$B21),"")</f>
        <v/>
      </c>
    </row>
    <row r="22" customFormat="false" ht="15" hidden="false" customHeight="false" outlineLevel="0" collapsed="false">
      <c r="B22" s="71" t="n">
        <f aca="false">EDATE($B21,1)</f>
        <v>45962</v>
      </c>
      <c r="C22" s="72" t="n">
        <f aca="false">COUNTIFS(거래장부_스윙트레이딩!$S$6:$S$505,$B22)</f>
        <v>2</v>
      </c>
      <c r="D22" s="73" t="n">
        <f aca="false">SUMIFS(거래장부_스윙트레이딩!$P$6:$P$505,거래장부_스윙트레이딩!$S$6:$S$505,$B22)</f>
        <v>90911</v>
      </c>
      <c r="E22" s="73" t="n">
        <f aca="false">SUM($D$21:$D22)</f>
        <v>90911</v>
      </c>
      <c r="F22" s="74" t="n">
        <f aca="false">IFERROR(COUNTIFS(거래장부_스윙트레이딩!$S$6:$S$505,$B22,거래장부_스윙트레이딩!$P$6:$P$505,"&gt;0")/$C22,"")</f>
        <v>0.5</v>
      </c>
      <c r="G22" s="75" t="n">
        <f aca="false">IFERROR(_xlfn.MAXIFS(거래장부_스윙트레이딩!$P$6:$P$505,거래장부_스윙트레이딩!$S$6:$S$505,$B22),0)</f>
        <v>190336</v>
      </c>
      <c r="H22" s="73" t="n">
        <f aca="false">IFERROR(_xlfn.MINIFS(거래장부_스윙트레이딩!$P$6:$P$505,거래장부_스윙트레이딩!$S$6:$S$505,$B22),0)</f>
        <v>-99425</v>
      </c>
      <c r="I22" s="76" t="n">
        <f aca="false">IFERROR(AVERAGEIFS(거래장부_스윙트레이딩!$Q$6:$Q$505,거래장부_스윙트레이딩!$S$6:$S$505,$B22),"")</f>
        <v>0.0177483641130871</v>
      </c>
    </row>
    <row r="23" customFormat="false" ht="15" hidden="false" customHeight="false" outlineLevel="0" collapsed="false">
      <c r="B23" s="71" t="n">
        <f aca="false">EDATE($B22,1)</f>
        <v>45992</v>
      </c>
      <c r="C23" s="72" t="n">
        <f aca="false">COUNTIFS(거래장부_스윙트레이딩!$S$6:$S$505,$B23)</f>
        <v>0</v>
      </c>
      <c r="D23" s="73" t="n">
        <f aca="false">SUMIFS(거래장부_스윙트레이딩!$P$6:$P$505,거래장부_스윙트레이딩!$S$6:$S$505,$B23)</f>
        <v>0</v>
      </c>
      <c r="E23" s="73" t="n">
        <f aca="false">SUM($D$21:$D23)</f>
        <v>90911</v>
      </c>
      <c r="F23" s="74" t="str">
        <f aca="false">IFERROR(COUNTIFS(거래장부_스윙트레이딩!$S$6:$S$505,$B23,거래장부_스윙트레이딩!$P$6:$P$505,"&gt;0")/$C23,"")</f>
        <v/>
      </c>
      <c r="G23" s="75" t="n">
        <f aca="false">IFERROR(_xlfn.MAXIFS(거래장부_스윙트레이딩!$P$6:$P$505,거래장부_스윙트레이딩!$S$6:$S$505,$B23),0)</f>
        <v>0</v>
      </c>
      <c r="H23" s="73" t="n">
        <f aca="false">IFERROR(_xlfn.MINIFS(거래장부_스윙트레이딩!$P$6:$P$505,거래장부_스윙트레이딩!$S$6:$S$505,$B23),0)</f>
        <v>0</v>
      </c>
      <c r="I23" s="76" t="str">
        <f aca="false">IFERROR(AVERAGEIFS(거래장부_스윙트레이딩!$Q$6:$Q$505,거래장부_스윙트레이딩!$S$6:$S$505,$B23),"")</f>
        <v/>
      </c>
    </row>
    <row r="24" customFormat="false" ht="15" hidden="false" customHeight="false" outlineLevel="0" collapsed="false">
      <c r="B24" s="71" t="n">
        <f aca="false">EDATE($B23,1)</f>
        <v>46023</v>
      </c>
      <c r="C24" s="72" t="n">
        <f aca="false">COUNTIFS(거래장부_스윙트레이딩!$S$6:$S$505,$B24)</f>
        <v>0</v>
      </c>
      <c r="D24" s="73" t="n">
        <f aca="false">SUMIFS(거래장부_스윙트레이딩!$P$6:$P$505,거래장부_스윙트레이딩!$S$6:$S$505,$B24)</f>
        <v>0</v>
      </c>
      <c r="E24" s="73" t="n">
        <f aca="false">SUM($D$21:$D24)</f>
        <v>90911</v>
      </c>
      <c r="F24" s="74" t="str">
        <f aca="false">IFERROR(COUNTIFS(거래장부_스윙트레이딩!$S$6:$S$505,$B24,거래장부_스윙트레이딩!$P$6:$P$505,"&gt;0")/$C24,"")</f>
        <v/>
      </c>
      <c r="G24" s="75" t="n">
        <f aca="false">IFERROR(_xlfn.MAXIFS(거래장부_스윙트레이딩!$P$6:$P$505,거래장부_스윙트레이딩!$S$6:$S$505,$B24),0)</f>
        <v>0</v>
      </c>
      <c r="H24" s="73" t="n">
        <f aca="false">IFERROR(_xlfn.MINIFS(거래장부_스윙트레이딩!$P$6:$P$505,거래장부_스윙트레이딩!$S$6:$S$505,$B24),0)</f>
        <v>0</v>
      </c>
      <c r="I24" s="76" t="str">
        <f aca="false">IFERROR(AVERAGEIFS(거래장부_스윙트레이딩!$Q$6:$Q$505,거래장부_스윙트레이딩!$S$6:$S$505,$B24),"")</f>
        <v/>
      </c>
    </row>
    <row r="25" customFormat="false" ht="15" hidden="false" customHeight="false" outlineLevel="0" collapsed="false">
      <c r="B25" s="71" t="n">
        <f aca="false">EDATE($B24,1)</f>
        <v>46054</v>
      </c>
      <c r="C25" s="72" t="n">
        <f aca="false">COUNTIFS(거래장부_스윙트레이딩!$S$6:$S$505,$B25)</f>
        <v>0</v>
      </c>
      <c r="D25" s="73" t="n">
        <f aca="false">SUMIFS(거래장부_스윙트레이딩!$P$6:$P$505,거래장부_스윙트레이딩!$S$6:$S$505,$B25)</f>
        <v>0</v>
      </c>
      <c r="E25" s="73" t="n">
        <f aca="false">SUM($D$21:$D25)</f>
        <v>90911</v>
      </c>
      <c r="F25" s="74" t="str">
        <f aca="false">IFERROR(COUNTIFS(거래장부_스윙트레이딩!$S$6:$S$505,$B25,거래장부_스윙트레이딩!$P$6:$P$505,"&gt;0")/$C25,"")</f>
        <v/>
      </c>
      <c r="G25" s="75" t="n">
        <f aca="false">IFERROR(_xlfn.MAXIFS(거래장부_스윙트레이딩!$P$6:$P$505,거래장부_스윙트레이딩!$S$6:$S$505,$B25),0)</f>
        <v>0</v>
      </c>
      <c r="H25" s="73" t="n">
        <f aca="false">IFERROR(_xlfn.MINIFS(거래장부_스윙트레이딩!$P$6:$P$505,거래장부_스윙트레이딩!$S$6:$S$505,$B25),0)</f>
        <v>0</v>
      </c>
      <c r="I25" s="76" t="str">
        <f aca="false">IFERROR(AVERAGEIFS(거래장부_스윙트레이딩!$Q$6:$Q$505,거래장부_스윙트레이딩!$S$6:$S$505,$B25),"")</f>
        <v/>
      </c>
    </row>
    <row r="26" customFormat="false" ht="15" hidden="false" customHeight="false" outlineLevel="0" collapsed="false">
      <c r="B26" s="71" t="n">
        <f aca="false">EDATE($B25,1)</f>
        <v>46082</v>
      </c>
      <c r="C26" s="72" t="n">
        <f aca="false">COUNTIFS(거래장부_스윙트레이딩!$S$6:$S$505,$B26)</f>
        <v>0</v>
      </c>
      <c r="D26" s="73" t="n">
        <f aca="false">SUMIFS(거래장부_스윙트레이딩!$P$6:$P$505,거래장부_스윙트레이딩!$S$6:$S$505,$B26)</f>
        <v>0</v>
      </c>
      <c r="E26" s="73" t="n">
        <f aca="false">SUM($D$21:$D26)</f>
        <v>90911</v>
      </c>
      <c r="F26" s="74" t="str">
        <f aca="false">IFERROR(COUNTIFS(거래장부_스윙트레이딩!$S$6:$S$505,$B26,거래장부_스윙트레이딩!$P$6:$P$505,"&gt;0")/$C26,"")</f>
        <v/>
      </c>
      <c r="G26" s="75" t="n">
        <f aca="false">IFERROR(_xlfn.MAXIFS(거래장부_스윙트레이딩!$P$6:$P$505,거래장부_스윙트레이딩!$S$6:$S$505,$B26),0)</f>
        <v>0</v>
      </c>
      <c r="H26" s="73" t="n">
        <f aca="false">IFERROR(_xlfn.MINIFS(거래장부_스윙트레이딩!$P$6:$P$505,거래장부_스윙트레이딩!$S$6:$S$505,$B26),0)</f>
        <v>0</v>
      </c>
      <c r="I26" s="76" t="str">
        <f aca="false">IFERROR(AVERAGEIFS(거래장부_스윙트레이딩!$Q$6:$Q$505,거래장부_스윙트레이딩!$S$6:$S$505,$B26),"")</f>
        <v/>
      </c>
    </row>
    <row r="27" customFormat="false" ht="15" hidden="false" customHeight="false" outlineLevel="0" collapsed="false">
      <c r="B27" s="71" t="n">
        <f aca="false">EDATE($B26,1)</f>
        <v>46113</v>
      </c>
      <c r="C27" s="72" t="n">
        <f aca="false">COUNTIFS(거래장부_스윙트레이딩!$S$6:$S$505,$B27)</f>
        <v>0</v>
      </c>
      <c r="D27" s="73" t="n">
        <f aca="false">SUMIFS(거래장부_스윙트레이딩!$P$6:$P$505,거래장부_스윙트레이딩!$S$6:$S$505,$B27)</f>
        <v>0</v>
      </c>
      <c r="E27" s="73" t="n">
        <f aca="false">SUM($D$21:$D27)</f>
        <v>90911</v>
      </c>
      <c r="F27" s="74" t="str">
        <f aca="false">IFERROR(COUNTIFS(거래장부_스윙트레이딩!$S$6:$S$505,$B27,거래장부_스윙트레이딩!$P$6:$P$505,"&gt;0")/$C27,"")</f>
        <v/>
      </c>
      <c r="G27" s="75" t="n">
        <f aca="false">IFERROR(_xlfn.MAXIFS(거래장부_스윙트레이딩!$P$6:$P$505,거래장부_스윙트레이딩!$S$6:$S$505,$B27),0)</f>
        <v>0</v>
      </c>
      <c r="H27" s="73" t="n">
        <f aca="false">IFERROR(_xlfn.MINIFS(거래장부_스윙트레이딩!$P$6:$P$505,거래장부_스윙트레이딩!$S$6:$S$505,$B27),0)</f>
        <v>0</v>
      </c>
      <c r="I27" s="76" t="str">
        <f aca="false">IFERROR(AVERAGEIFS(거래장부_스윙트레이딩!$Q$6:$Q$505,거래장부_스윙트레이딩!$S$6:$S$505,$B27),"")</f>
        <v/>
      </c>
    </row>
    <row r="28" customFormat="false" ht="15" hidden="false" customHeight="false" outlineLevel="0" collapsed="false">
      <c r="B28" s="71" t="n">
        <f aca="false">EDATE($B27,1)</f>
        <v>46143</v>
      </c>
      <c r="C28" s="72" t="n">
        <f aca="false">COUNTIFS(거래장부_스윙트레이딩!$S$6:$S$505,$B28)</f>
        <v>0</v>
      </c>
      <c r="D28" s="73" t="n">
        <f aca="false">SUMIFS(거래장부_스윙트레이딩!$P$6:$P$505,거래장부_스윙트레이딩!$S$6:$S$505,$B28)</f>
        <v>0</v>
      </c>
      <c r="E28" s="73" t="n">
        <f aca="false">SUM($D$21:$D28)</f>
        <v>90911</v>
      </c>
      <c r="F28" s="74" t="str">
        <f aca="false">IFERROR(COUNTIFS(거래장부_스윙트레이딩!$S$6:$S$505,$B28,거래장부_스윙트레이딩!$P$6:$P$505,"&gt;0")/$C28,"")</f>
        <v/>
      </c>
      <c r="G28" s="75" t="n">
        <f aca="false">IFERROR(_xlfn.MAXIFS(거래장부_스윙트레이딩!$P$6:$P$505,거래장부_스윙트레이딩!$S$6:$S$505,$B28),0)</f>
        <v>0</v>
      </c>
      <c r="H28" s="73" t="n">
        <f aca="false">IFERROR(_xlfn.MINIFS(거래장부_스윙트레이딩!$P$6:$P$505,거래장부_스윙트레이딩!$S$6:$S$505,$B28),0)</f>
        <v>0</v>
      </c>
      <c r="I28" s="76" t="str">
        <f aca="false">IFERROR(AVERAGEIFS(거래장부_스윙트레이딩!$Q$6:$Q$505,거래장부_스윙트레이딩!$S$6:$S$505,$B28),"")</f>
        <v/>
      </c>
    </row>
    <row r="29" customFormat="false" ht="15" hidden="false" customHeight="false" outlineLevel="0" collapsed="false">
      <c r="B29" s="71" t="n">
        <f aca="false">EDATE($B28,1)</f>
        <v>46174</v>
      </c>
      <c r="C29" s="72" t="n">
        <f aca="false">COUNTIFS(거래장부_스윙트레이딩!$S$6:$S$505,$B29)</f>
        <v>0</v>
      </c>
      <c r="D29" s="73" t="n">
        <f aca="false">SUMIFS(거래장부_스윙트레이딩!$P$6:$P$505,거래장부_스윙트레이딩!$S$6:$S$505,$B29)</f>
        <v>0</v>
      </c>
      <c r="E29" s="73" t="n">
        <f aca="false">SUM($D$21:$D29)</f>
        <v>90911</v>
      </c>
      <c r="F29" s="74" t="str">
        <f aca="false">IFERROR(COUNTIFS(거래장부_스윙트레이딩!$S$6:$S$505,$B29,거래장부_스윙트레이딩!$P$6:$P$505,"&gt;0")/$C29,"")</f>
        <v/>
      </c>
      <c r="G29" s="75" t="n">
        <f aca="false">IFERROR(_xlfn.MAXIFS(거래장부_스윙트레이딩!$P$6:$P$505,거래장부_스윙트레이딩!$S$6:$S$505,$B29),0)</f>
        <v>0</v>
      </c>
      <c r="H29" s="73" t="n">
        <f aca="false">IFERROR(_xlfn.MINIFS(거래장부_스윙트레이딩!$P$6:$P$505,거래장부_스윙트레이딩!$S$6:$S$505,$B29),0)</f>
        <v>0</v>
      </c>
      <c r="I29" s="76" t="str">
        <f aca="false">IFERROR(AVERAGEIFS(거래장부_스윙트레이딩!$Q$6:$Q$505,거래장부_스윙트레이딩!$S$6:$S$505,$B29),"")</f>
        <v/>
      </c>
    </row>
    <row r="30" customFormat="false" ht="15" hidden="false" customHeight="false" outlineLevel="0" collapsed="false">
      <c r="B30" s="71" t="n">
        <f aca="false">EDATE($B29,1)</f>
        <v>46204</v>
      </c>
      <c r="C30" s="72" t="n">
        <f aca="false">COUNTIFS(거래장부_스윙트레이딩!$S$6:$S$505,$B30)</f>
        <v>0</v>
      </c>
      <c r="D30" s="73" t="n">
        <f aca="false">SUMIFS(거래장부_스윙트레이딩!$P$6:$P$505,거래장부_스윙트레이딩!$S$6:$S$505,$B30)</f>
        <v>0</v>
      </c>
      <c r="E30" s="73" t="n">
        <f aca="false">SUM($D$21:$D30)</f>
        <v>90911</v>
      </c>
      <c r="F30" s="74" t="str">
        <f aca="false">IFERROR(COUNTIFS(거래장부_스윙트레이딩!$S$6:$S$505,$B30,거래장부_스윙트레이딩!$P$6:$P$505,"&gt;0")/$C30,"")</f>
        <v/>
      </c>
      <c r="G30" s="75" t="n">
        <f aca="false">IFERROR(_xlfn.MAXIFS(거래장부_스윙트레이딩!$P$6:$P$505,거래장부_스윙트레이딩!$S$6:$S$505,$B30),0)</f>
        <v>0</v>
      </c>
      <c r="H30" s="73" t="n">
        <f aca="false">IFERROR(_xlfn.MINIFS(거래장부_스윙트레이딩!$P$6:$P$505,거래장부_스윙트레이딩!$S$6:$S$505,$B30),0)</f>
        <v>0</v>
      </c>
      <c r="I30" s="76" t="str">
        <f aca="false">IFERROR(AVERAGEIFS(거래장부_스윙트레이딩!$Q$6:$Q$505,거래장부_스윙트레이딩!$S$6:$S$505,$B30),"")</f>
        <v/>
      </c>
    </row>
    <row r="31" customFormat="false" ht="15" hidden="false" customHeight="false" outlineLevel="0" collapsed="false">
      <c r="B31" s="71" t="n">
        <f aca="false">EDATE($B30,1)</f>
        <v>46235</v>
      </c>
      <c r="C31" s="72" t="n">
        <f aca="false">COUNTIFS(거래장부_스윙트레이딩!$S$6:$S$505,$B31)</f>
        <v>0</v>
      </c>
      <c r="D31" s="73" t="n">
        <f aca="false">SUMIFS(거래장부_스윙트레이딩!$P$6:$P$505,거래장부_스윙트레이딩!$S$6:$S$505,$B31)</f>
        <v>0</v>
      </c>
      <c r="E31" s="73" t="n">
        <f aca="false">SUM($D$21:$D31)</f>
        <v>90911</v>
      </c>
      <c r="F31" s="74" t="str">
        <f aca="false">IFERROR(COUNTIFS(거래장부_스윙트레이딩!$S$6:$S$505,$B31,거래장부_스윙트레이딩!$P$6:$P$505,"&gt;0")/$C31,"")</f>
        <v/>
      </c>
      <c r="G31" s="75" t="n">
        <f aca="false">IFERROR(_xlfn.MAXIFS(거래장부_스윙트레이딩!$P$6:$P$505,거래장부_스윙트레이딩!$S$6:$S$505,$B31),0)</f>
        <v>0</v>
      </c>
      <c r="H31" s="73" t="n">
        <f aca="false">IFERROR(_xlfn.MINIFS(거래장부_스윙트레이딩!$P$6:$P$505,거래장부_스윙트레이딩!$S$6:$S$505,$B31),0)</f>
        <v>0</v>
      </c>
      <c r="I31" s="76" t="str">
        <f aca="false">IFERROR(AVERAGEIFS(거래장부_스윙트레이딩!$Q$6:$Q$505,거래장부_스윙트레이딩!$S$6:$S$505,$B31),"")</f>
        <v/>
      </c>
    </row>
    <row r="32" customFormat="false" ht="15" hidden="false" customHeight="false" outlineLevel="0" collapsed="false">
      <c r="B32" s="71" t="n">
        <f aca="false">EDATE($B31,1)</f>
        <v>46266</v>
      </c>
      <c r="C32" s="72" t="n">
        <f aca="false">COUNTIFS(거래장부_스윙트레이딩!$S$6:$S$505,$B32)</f>
        <v>0</v>
      </c>
      <c r="D32" s="73" t="n">
        <f aca="false">SUMIFS(거래장부_스윙트레이딩!$P$6:$P$505,거래장부_스윙트레이딩!$S$6:$S$505,$B32)</f>
        <v>0</v>
      </c>
      <c r="E32" s="73" t="n">
        <f aca="false">SUM($D$21:$D32)</f>
        <v>90911</v>
      </c>
      <c r="F32" s="74" t="str">
        <f aca="false">IFERROR(COUNTIFS(거래장부_스윙트레이딩!$S$6:$S$505,$B32,거래장부_스윙트레이딩!$P$6:$P$505,"&gt;0")/$C32,"")</f>
        <v/>
      </c>
      <c r="G32" s="75" t="n">
        <f aca="false">IFERROR(_xlfn.MAXIFS(거래장부_스윙트레이딩!$P$6:$P$505,거래장부_스윙트레이딩!$S$6:$S$505,$B32),0)</f>
        <v>0</v>
      </c>
      <c r="H32" s="73" t="n">
        <f aca="false">IFERROR(_xlfn.MINIFS(거래장부_스윙트레이딩!$P$6:$P$505,거래장부_스윙트레이딩!$S$6:$S$505,$B32),0)</f>
        <v>0</v>
      </c>
      <c r="I32" s="76" t="str">
        <f aca="false">IFERROR(AVERAGEIFS(거래장부_스윙트레이딩!$Q$6:$Q$505,거래장부_스윙트레이딩!$S$6:$S$505,$B32),"")</f>
        <v/>
      </c>
    </row>
    <row r="33" customFormat="false" ht="15" hidden="false" customHeight="false" outlineLevel="0" collapsed="false">
      <c r="B33" s="71" t="n">
        <f aca="false">EDATE($B32,1)</f>
        <v>46296</v>
      </c>
      <c r="C33" s="72" t="n">
        <f aca="false">COUNTIFS(거래장부_스윙트레이딩!$S$6:$S$505,$B33)</f>
        <v>0</v>
      </c>
      <c r="D33" s="73" t="n">
        <f aca="false">SUMIFS(거래장부_스윙트레이딩!$P$6:$P$505,거래장부_스윙트레이딩!$S$6:$S$505,$B33)</f>
        <v>0</v>
      </c>
      <c r="E33" s="73" t="n">
        <f aca="false">SUM($D$21:$D33)</f>
        <v>90911</v>
      </c>
      <c r="F33" s="74" t="str">
        <f aca="false">IFERROR(COUNTIFS(거래장부_스윙트레이딩!$S$6:$S$505,$B33,거래장부_스윙트레이딩!$P$6:$P$505,"&gt;0")/$C33,"")</f>
        <v/>
      </c>
      <c r="G33" s="75" t="n">
        <f aca="false">IFERROR(_xlfn.MAXIFS(거래장부_스윙트레이딩!$P$6:$P$505,거래장부_스윙트레이딩!$S$6:$S$505,$B33),0)</f>
        <v>0</v>
      </c>
      <c r="H33" s="73" t="n">
        <f aca="false">IFERROR(_xlfn.MINIFS(거래장부_스윙트레이딩!$P$6:$P$505,거래장부_스윙트레이딩!$S$6:$S$505,$B33),0)</f>
        <v>0</v>
      </c>
      <c r="I33" s="76" t="str">
        <f aca="false">IFERROR(AVERAGEIFS(거래장부_스윙트레이딩!$Q$6:$Q$505,거래장부_스윙트레이딩!$S$6:$S$505,$B33),"")</f>
        <v/>
      </c>
    </row>
    <row r="34" customFormat="false" ht="15" hidden="false" customHeight="false" outlineLevel="0" collapsed="false">
      <c r="B34" s="71" t="n">
        <f aca="false">EDATE($B33,1)</f>
        <v>46327</v>
      </c>
      <c r="C34" s="72" t="n">
        <f aca="false">COUNTIFS(거래장부_스윙트레이딩!$S$6:$S$505,$B34)</f>
        <v>0</v>
      </c>
      <c r="D34" s="73" t="n">
        <f aca="false">SUMIFS(거래장부_스윙트레이딩!$P$6:$P$505,거래장부_스윙트레이딩!$S$6:$S$505,$B34)</f>
        <v>0</v>
      </c>
      <c r="E34" s="73" t="n">
        <f aca="false">SUM($D$21:$D34)</f>
        <v>90911</v>
      </c>
      <c r="F34" s="74" t="str">
        <f aca="false">IFERROR(COUNTIFS(거래장부_스윙트레이딩!$S$6:$S$505,$B34,거래장부_스윙트레이딩!$P$6:$P$505,"&gt;0")/$C34,"")</f>
        <v/>
      </c>
      <c r="G34" s="75" t="n">
        <f aca="false">IFERROR(_xlfn.MAXIFS(거래장부_스윙트레이딩!$P$6:$P$505,거래장부_스윙트레이딩!$S$6:$S$505,$B34),0)</f>
        <v>0</v>
      </c>
      <c r="H34" s="73" t="n">
        <f aca="false">IFERROR(_xlfn.MINIFS(거래장부_스윙트레이딩!$P$6:$P$505,거래장부_스윙트레이딩!$S$6:$S$505,$B34),0)</f>
        <v>0</v>
      </c>
      <c r="I34" s="76" t="str">
        <f aca="false">IFERROR(AVERAGEIFS(거래장부_스윙트레이딩!$Q$6:$Q$505,거래장부_스윙트레이딩!$S$6:$S$505,$B34),"")</f>
        <v/>
      </c>
    </row>
    <row r="35" customFormat="false" ht="15" hidden="false" customHeight="false" outlineLevel="0" collapsed="false">
      <c r="B35" s="71" t="n">
        <f aca="false">EDATE($B34,1)</f>
        <v>46357</v>
      </c>
      <c r="C35" s="72" t="n">
        <f aca="false">COUNTIFS(거래장부_스윙트레이딩!$S$6:$S$505,$B35)</f>
        <v>0</v>
      </c>
      <c r="D35" s="73" t="n">
        <f aca="false">SUMIFS(거래장부_스윙트레이딩!$P$6:$P$505,거래장부_스윙트레이딩!$S$6:$S$505,$B35)</f>
        <v>0</v>
      </c>
      <c r="E35" s="73" t="n">
        <f aca="false">SUM($D$21:$D35)</f>
        <v>90911</v>
      </c>
      <c r="F35" s="74" t="str">
        <f aca="false">IFERROR(COUNTIFS(거래장부_스윙트레이딩!$S$6:$S$505,$B35,거래장부_스윙트레이딩!$P$6:$P$505,"&gt;0")/$C35,"")</f>
        <v/>
      </c>
      <c r="G35" s="75" t="n">
        <f aca="false">IFERROR(_xlfn.MAXIFS(거래장부_스윙트레이딩!$P$6:$P$505,거래장부_스윙트레이딩!$S$6:$S$505,$B35),0)</f>
        <v>0</v>
      </c>
      <c r="H35" s="73" t="n">
        <f aca="false">IFERROR(_xlfn.MINIFS(거래장부_스윙트레이딩!$P$6:$P$505,거래장부_스윙트레이딩!$S$6:$S$505,$B35),0)</f>
        <v>0</v>
      </c>
      <c r="I35" s="76" t="str">
        <f aca="false">IFERROR(AVERAGEIFS(거래장부_스윙트레이딩!$Q$6:$Q$505,거래장부_스윙트레이딩!$S$6:$S$505,$B35),"")</f>
        <v/>
      </c>
    </row>
    <row r="36" customFormat="false" ht="15" hidden="false" customHeight="false" outlineLevel="0" collapsed="false">
      <c r="B36" s="71" t="n">
        <f aca="false">EDATE($B35,1)</f>
        <v>46388</v>
      </c>
      <c r="C36" s="72" t="n">
        <f aca="false">COUNTIFS(거래장부_스윙트레이딩!$S$6:$S$505,$B36)</f>
        <v>0</v>
      </c>
      <c r="D36" s="73" t="n">
        <f aca="false">SUMIFS(거래장부_스윙트레이딩!$P$6:$P$505,거래장부_스윙트레이딩!$S$6:$S$505,$B36)</f>
        <v>0</v>
      </c>
      <c r="E36" s="73" t="n">
        <f aca="false">SUM($D$21:$D36)</f>
        <v>90911</v>
      </c>
      <c r="F36" s="74" t="str">
        <f aca="false">IFERROR(COUNTIFS(거래장부_스윙트레이딩!$S$6:$S$505,$B36,거래장부_스윙트레이딩!$P$6:$P$505,"&gt;0")/$C36,"")</f>
        <v/>
      </c>
      <c r="G36" s="75" t="n">
        <f aca="false">IFERROR(_xlfn.MAXIFS(거래장부_스윙트레이딩!$P$6:$P$505,거래장부_스윙트레이딩!$S$6:$S$505,$B36),0)</f>
        <v>0</v>
      </c>
      <c r="H36" s="73" t="n">
        <f aca="false">IFERROR(_xlfn.MINIFS(거래장부_스윙트레이딩!$P$6:$P$505,거래장부_스윙트레이딩!$S$6:$S$505,$B36),0)</f>
        <v>0</v>
      </c>
      <c r="I36" s="76" t="str">
        <f aca="false">IFERROR(AVERAGEIFS(거래장부_스윙트레이딩!$Q$6:$Q$505,거래장부_스윙트레이딩!$S$6:$S$505,$B36),"")</f>
        <v/>
      </c>
    </row>
    <row r="37" customFormat="false" ht="15" hidden="false" customHeight="false" outlineLevel="0" collapsed="false">
      <c r="B37" s="71" t="n">
        <f aca="false">EDATE($B36,1)</f>
        <v>46419</v>
      </c>
      <c r="C37" s="72" t="n">
        <f aca="false">COUNTIFS(거래장부_스윙트레이딩!$S$6:$S$505,$B37)</f>
        <v>0</v>
      </c>
      <c r="D37" s="73" t="n">
        <f aca="false">SUMIFS(거래장부_스윙트레이딩!$P$6:$P$505,거래장부_스윙트레이딩!$S$6:$S$505,$B37)</f>
        <v>0</v>
      </c>
      <c r="E37" s="73" t="n">
        <f aca="false">SUM($D$21:$D37)</f>
        <v>90911</v>
      </c>
      <c r="F37" s="74" t="str">
        <f aca="false">IFERROR(COUNTIFS(거래장부_스윙트레이딩!$S$6:$S$505,$B37,거래장부_스윙트레이딩!$P$6:$P$505,"&gt;0")/$C37,"")</f>
        <v/>
      </c>
      <c r="G37" s="75" t="n">
        <f aca="false">IFERROR(_xlfn.MAXIFS(거래장부_스윙트레이딩!$P$6:$P$505,거래장부_스윙트레이딩!$S$6:$S$505,$B37),0)</f>
        <v>0</v>
      </c>
      <c r="H37" s="73" t="n">
        <f aca="false">IFERROR(_xlfn.MINIFS(거래장부_스윙트레이딩!$P$6:$P$505,거래장부_스윙트레이딩!$S$6:$S$505,$B37),0)</f>
        <v>0</v>
      </c>
      <c r="I37" s="76" t="str">
        <f aca="false">IFERROR(AVERAGEIFS(거래장부_스윙트레이딩!$Q$6:$Q$505,거래장부_스윙트레이딩!$S$6:$S$505,$B37),"")</f>
        <v/>
      </c>
    </row>
    <row r="38" customFormat="false" ht="15" hidden="false" customHeight="false" outlineLevel="0" collapsed="false">
      <c r="B38" s="71" t="n">
        <f aca="false">EDATE($B37,1)</f>
        <v>46447</v>
      </c>
      <c r="C38" s="72" t="n">
        <f aca="false">COUNTIFS(거래장부_스윙트레이딩!$S$6:$S$505,$B38)</f>
        <v>0</v>
      </c>
      <c r="D38" s="73" t="n">
        <f aca="false">SUMIFS(거래장부_스윙트레이딩!$P$6:$P$505,거래장부_스윙트레이딩!$S$6:$S$505,$B38)</f>
        <v>0</v>
      </c>
      <c r="E38" s="73" t="n">
        <f aca="false">SUM($D$21:$D38)</f>
        <v>90911</v>
      </c>
      <c r="F38" s="74" t="str">
        <f aca="false">IFERROR(COUNTIFS(거래장부_스윙트레이딩!$S$6:$S$505,$B38,거래장부_스윙트레이딩!$P$6:$P$505,"&gt;0")/$C38,"")</f>
        <v/>
      </c>
      <c r="G38" s="75" t="n">
        <f aca="false">IFERROR(_xlfn.MAXIFS(거래장부_스윙트레이딩!$P$6:$P$505,거래장부_스윙트레이딩!$S$6:$S$505,$B38),0)</f>
        <v>0</v>
      </c>
      <c r="H38" s="73" t="n">
        <f aca="false">IFERROR(_xlfn.MINIFS(거래장부_스윙트레이딩!$P$6:$P$505,거래장부_스윙트레이딩!$S$6:$S$505,$B38),0)</f>
        <v>0</v>
      </c>
      <c r="I38" s="76" t="str">
        <f aca="false">IFERROR(AVERAGEIFS(거래장부_스윙트레이딩!$Q$6:$Q$505,거래장부_스윙트레이딩!$S$6:$S$505,$B38),"")</f>
        <v/>
      </c>
    </row>
    <row r="39" customFormat="false" ht="15" hidden="false" customHeight="false" outlineLevel="0" collapsed="false">
      <c r="B39" s="71" t="n">
        <f aca="false">EDATE($B38,1)</f>
        <v>46478</v>
      </c>
      <c r="C39" s="72" t="n">
        <f aca="false">COUNTIFS(거래장부_스윙트레이딩!$S$6:$S$505,$B39)</f>
        <v>0</v>
      </c>
      <c r="D39" s="73" t="n">
        <f aca="false">SUMIFS(거래장부_스윙트레이딩!$P$6:$P$505,거래장부_스윙트레이딩!$S$6:$S$505,$B39)</f>
        <v>0</v>
      </c>
      <c r="E39" s="73" t="n">
        <f aca="false">SUM($D$21:$D39)</f>
        <v>90911</v>
      </c>
      <c r="F39" s="74" t="str">
        <f aca="false">IFERROR(COUNTIFS(거래장부_스윙트레이딩!$S$6:$S$505,$B39,거래장부_스윙트레이딩!$P$6:$P$505,"&gt;0")/$C39,"")</f>
        <v/>
      </c>
      <c r="G39" s="75" t="n">
        <f aca="false">IFERROR(_xlfn.MAXIFS(거래장부_스윙트레이딩!$P$6:$P$505,거래장부_스윙트레이딩!$S$6:$S$505,$B39),0)</f>
        <v>0</v>
      </c>
      <c r="H39" s="73" t="n">
        <f aca="false">IFERROR(_xlfn.MINIFS(거래장부_스윙트레이딩!$P$6:$P$505,거래장부_스윙트레이딩!$S$6:$S$505,$B39),0)</f>
        <v>0</v>
      </c>
      <c r="I39" s="76" t="str">
        <f aca="false">IFERROR(AVERAGEIFS(거래장부_스윙트레이딩!$Q$6:$Q$505,거래장부_스윙트레이딩!$S$6:$S$505,$B39),"")</f>
        <v/>
      </c>
    </row>
    <row r="40" customFormat="false" ht="15" hidden="false" customHeight="false" outlineLevel="0" collapsed="false">
      <c r="B40" s="71" t="n">
        <f aca="false">EDATE($B39,1)</f>
        <v>46508</v>
      </c>
      <c r="C40" s="72" t="n">
        <f aca="false">COUNTIFS(거래장부_스윙트레이딩!$S$6:$S$505,$B40)</f>
        <v>0</v>
      </c>
      <c r="D40" s="73" t="n">
        <f aca="false">SUMIFS(거래장부_스윙트레이딩!$P$6:$P$505,거래장부_스윙트레이딩!$S$6:$S$505,$B40)</f>
        <v>0</v>
      </c>
      <c r="E40" s="73" t="n">
        <f aca="false">SUM($D$21:$D40)</f>
        <v>90911</v>
      </c>
      <c r="F40" s="74" t="str">
        <f aca="false">IFERROR(COUNTIFS(거래장부_스윙트레이딩!$S$6:$S$505,$B40,거래장부_스윙트레이딩!$P$6:$P$505,"&gt;0")/$C40,"")</f>
        <v/>
      </c>
      <c r="G40" s="75" t="n">
        <f aca="false">IFERROR(_xlfn.MAXIFS(거래장부_스윙트레이딩!$P$6:$P$505,거래장부_스윙트레이딩!$S$6:$S$505,$B40),0)</f>
        <v>0</v>
      </c>
      <c r="H40" s="73" t="n">
        <f aca="false">IFERROR(_xlfn.MINIFS(거래장부_스윙트레이딩!$P$6:$P$505,거래장부_스윙트레이딩!$S$6:$S$505,$B40),0)</f>
        <v>0</v>
      </c>
      <c r="I40" s="76" t="str">
        <f aca="false">IFERROR(AVERAGEIFS(거래장부_스윙트레이딩!$Q$6:$Q$505,거래장부_스윙트레이딩!$S$6:$S$505,$B40),"")</f>
        <v/>
      </c>
    </row>
    <row r="41" customFormat="false" ht="15" hidden="false" customHeight="false" outlineLevel="0" collapsed="false">
      <c r="B41" s="71" t="n">
        <f aca="false">EDATE($B40,1)</f>
        <v>46539</v>
      </c>
      <c r="C41" s="72" t="n">
        <f aca="false">COUNTIFS(거래장부_스윙트레이딩!$S$6:$S$505,$B41)</f>
        <v>0</v>
      </c>
      <c r="D41" s="73" t="n">
        <f aca="false">SUMIFS(거래장부_스윙트레이딩!$P$6:$P$505,거래장부_스윙트레이딩!$S$6:$S$505,$B41)</f>
        <v>0</v>
      </c>
      <c r="E41" s="73" t="n">
        <f aca="false">SUM($D$21:$D41)</f>
        <v>90911</v>
      </c>
      <c r="F41" s="74" t="str">
        <f aca="false">IFERROR(COUNTIFS(거래장부_스윙트레이딩!$S$6:$S$505,$B41,거래장부_스윙트레이딩!$P$6:$P$505,"&gt;0")/$C41,"")</f>
        <v/>
      </c>
      <c r="G41" s="75" t="n">
        <f aca="false">IFERROR(_xlfn.MAXIFS(거래장부_스윙트레이딩!$P$6:$P$505,거래장부_스윙트레이딩!$S$6:$S$505,$B41),0)</f>
        <v>0</v>
      </c>
      <c r="H41" s="73" t="n">
        <f aca="false">IFERROR(_xlfn.MINIFS(거래장부_스윙트레이딩!$P$6:$P$505,거래장부_스윙트레이딩!$S$6:$S$505,$B41),0)</f>
        <v>0</v>
      </c>
      <c r="I41" s="76" t="str">
        <f aca="false">IFERROR(AVERAGEIFS(거래장부_스윙트레이딩!$Q$6:$Q$505,거래장부_스윙트레이딩!$S$6:$S$505,$B41),"")</f>
        <v/>
      </c>
    </row>
    <row r="42" customFormat="false" ht="15" hidden="false" customHeight="false" outlineLevel="0" collapsed="false">
      <c r="B42" s="71" t="n">
        <f aca="false">EDATE($B41,1)</f>
        <v>46569</v>
      </c>
      <c r="C42" s="72" t="n">
        <f aca="false">COUNTIFS(거래장부_스윙트레이딩!$S$6:$S$505,$B42)</f>
        <v>0</v>
      </c>
      <c r="D42" s="73" t="n">
        <f aca="false">SUMIFS(거래장부_스윙트레이딩!$P$6:$P$505,거래장부_스윙트레이딩!$S$6:$S$505,$B42)</f>
        <v>0</v>
      </c>
      <c r="E42" s="73" t="n">
        <f aca="false">SUM($D$21:$D42)</f>
        <v>90911</v>
      </c>
      <c r="F42" s="74" t="str">
        <f aca="false">IFERROR(COUNTIFS(거래장부_스윙트레이딩!$S$6:$S$505,$B42,거래장부_스윙트레이딩!$P$6:$P$505,"&gt;0")/$C42,"")</f>
        <v/>
      </c>
      <c r="G42" s="75" t="n">
        <f aca="false">IFERROR(_xlfn.MAXIFS(거래장부_스윙트레이딩!$P$6:$P$505,거래장부_스윙트레이딩!$S$6:$S$505,$B42),0)</f>
        <v>0</v>
      </c>
      <c r="H42" s="73" t="n">
        <f aca="false">IFERROR(_xlfn.MINIFS(거래장부_스윙트레이딩!$P$6:$P$505,거래장부_스윙트레이딩!$S$6:$S$505,$B42),0)</f>
        <v>0</v>
      </c>
      <c r="I42" s="76" t="str">
        <f aca="false">IFERROR(AVERAGEIFS(거래장부_스윙트레이딩!$Q$6:$Q$505,거래장부_스윙트레이딩!$S$6:$S$505,$B42),"")</f>
        <v/>
      </c>
    </row>
    <row r="43" customFormat="false" ht="15" hidden="false" customHeight="false" outlineLevel="0" collapsed="false">
      <c r="B43" s="71" t="n">
        <f aca="false">EDATE($B42,1)</f>
        <v>46600</v>
      </c>
      <c r="C43" s="72" t="n">
        <f aca="false">COUNTIFS(거래장부_스윙트레이딩!$S$6:$S$505,$B43)</f>
        <v>0</v>
      </c>
      <c r="D43" s="73" t="n">
        <f aca="false">SUMIFS(거래장부_스윙트레이딩!$P$6:$P$505,거래장부_스윙트레이딩!$S$6:$S$505,$B43)</f>
        <v>0</v>
      </c>
      <c r="E43" s="73" t="n">
        <f aca="false">SUM($D$21:$D43)</f>
        <v>90911</v>
      </c>
      <c r="F43" s="74" t="str">
        <f aca="false">IFERROR(COUNTIFS(거래장부_스윙트레이딩!$S$6:$S$505,$B43,거래장부_스윙트레이딩!$P$6:$P$505,"&gt;0")/$C43,"")</f>
        <v/>
      </c>
      <c r="G43" s="75" t="n">
        <f aca="false">IFERROR(_xlfn.MAXIFS(거래장부_스윙트레이딩!$P$6:$P$505,거래장부_스윙트레이딩!$S$6:$S$505,$B43),0)</f>
        <v>0</v>
      </c>
      <c r="H43" s="73" t="n">
        <f aca="false">IFERROR(_xlfn.MINIFS(거래장부_스윙트레이딩!$P$6:$P$505,거래장부_스윙트레이딩!$S$6:$S$505,$B43),0)</f>
        <v>0</v>
      </c>
      <c r="I43" s="76" t="str">
        <f aca="false">IFERROR(AVERAGEIFS(거래장부_스윙트레이딩!$Q$6:$Q$505,거래장부_스윙트레이딩!$S$6:$S$505,$B43),"")</f>
        <v/>
      </c>
    </row>
    <row r="44" customFormat="false" ht="15" hidden="false" customHeight="false" outlineLevel="0" collapsed="false">
      <c r="B44" s="71" t="n">
        <f aca="false">EDATE($B43,1)</f>
        <v>46631</v>
      </c>
      <c r="C44" s="72" t="n">
        <f aca="false">COUNTIFS(거래장부_스윙트레이딩!$S$6:$S$505,$B44)</f>
        <v>0</v>
      </c>
      <c r="D44" s="73" t="n">
        <f aca="false">SUMIFS(거래장부_스윙트레이딩!$P$6:$P$505,거래장부_스윙트레이딩!$S$6:$S$505,$B44)</f>
        <v>0</v>
      </c>
      <c r="E44" s="73" t="n">
        <f aca="false">SUM($D$21:$D44)</f>
        <v>90911</v>
      </c>
      <c r="F44" s="74" t="str">
        <f aca="false">IFERROR(COUNTIFS(거래장부_스윙트레이딩!$S$6:$S$505,$B44,거래장부_스윙트레이딩!$P$6:$P$505,"&gt;0")/$C44,"")</f>
        <v/>
      </c>
      <c r="G44" s="75" t="n">
        <f aca="false">IFERROR(_xlfn.MAXIFS(거래장부_스윙트레이딩!$P$6:$P$505,거래장부_스윙트레이딩!$S$6:$S$505,$B44),0)</f>
        <v>0</v>
      </c>
      <c r="H44" s="73" t="n">
        <f aca="false">IFERROR(_xlfn.MINIFS(거래장부_스윙트레이딩!$P$6:$P$505,거래장부_스윙트레이딩!$S$6:$S$505,$B44),0)</f>
        <v>0</v>
      </c>
      <c r="I44" s="76" t="str">
        <f aca="false">IFERROR(AVERAGEIFS(거래장부_스윙트레이딩!$Q$6:$Q$505,거래장부_스윙트레이딩!$S$6:$S$505,$B44),"")</f>
        <v/>
      </c>
    </row>
    <row r="45" customFormat="false" ht="15" hidden="false" customHeight="false" outlineLevel="0" collapsed="false">
      <c r="B45" s="55" t="s">
        <v>173</v>
      </c>
      <c r="C45" s="77" t="n">
        <f aca="false">SUM($C$21:$C$44)</f>
        <v>2</v>
      </c>
      <c r="D45" s="56" t="n">
        <f aca="false">SUM($D$21:$D$44)</f>
        <v>90911</v>
      </c>
      <c r="E45" s="56" t="n">
        <f aca="false">$E$44</f>
        <v>90911</v>
      </c>
      <c r="F45" s="55"/>
      <c r="G45" s="78" t="n">
        <f aca="false">IFERROR(MAX($G$21:$G$44),0)</f>
        <v>190336</v>
      </c>
      <c r="H45" s="56" t="n">
        <f aca="false">IFERROR(MIN($H$21:$H$44),0)</f>
        <v>-99425</v>
      </c>
      <c r="I45" s="55"/>
    </row>
    <row r="47" customFormat="false" ht="15" hidden="false" customHeight="false" outlineLevel="0" collapsed="false">
      <c r="B47" s="18" t="s">
        <v>174</v>
      </c>
      <c r="C47" s="19"/>
      <c r="D47" s="19"/>
      <c r="E47" s="19"/>
      <c r="F47" s="19"/>
      <c r="G47" s="19"/>
      <c r="H47" s="19"/>
    </row>
    <row r="48" customFormat="false" ht="15" hidden="false" customHeight="false" outlineLevel="0" collapsed="false">
      <c r="B48" s="7" t="s">
        <v>175</v>
      </c>
      <c r="C48" s="7" t="s">
        <v>97</v>
      </c>
      <c r="D48" s="7" t="s">
        <v>98</v>
      </c>
      <c r="E48" s="7" t="s">
        <v>102</v>
      </c>
      <c r="F48" s="7" t="s">
        <v>33</v>
      </c>
      <c r="G48" s="7" t="s">
        <v>35</v>
      </c>
      <c r="H48" s="7" t="s">
        <v>45</v>
      </c>
    </row>
    <row r="49" customFormat="false" ht="15" hidden="false" customHeight="false" outlineLevel="0" collapsed="false">
      <c r="B49" s="79" t="n">
        <v>1</v>
      </c>
      <c r="C49" s="80" t="str">
        <f aca="false">IF($F49="","-",IFERROR(INDEX(거래장부_스윙트레이딩!$C$6:$C$505,MATCH($F49,거래장부_스윙트레이딩!$P$6:$P$505,0)),"-"))</f>
        <v>삼성전자</v>
      </c>
      <c r="D49" s="81" t="n">
        <f aca="false">IF($F49="","",IFERROR(INDEX(거래장부_스윙트레이딩!$D$6:$D$505,MATCH($F49,거래장부_스윙트레이딩!$P$6:$P$505,0)),""))</f>
        <v>45950</v>
      </c>
      <c r="E49" s="81" t="n">
        <f aca="false">IF($F49="","",IFERROR(INDEX(거래장부_스윙트레이딩!$H$6:$H$505,MATCH($F49,거래장부_스윙트레이딩!$P$6:$P$505,0)),""))</f>
        <v>45975</v>
      </c>
      <c r="F49" s="82" t="n">
        <f aca="false">IFERROR(IF(LARGE(거래장부_스윙트레이딩!$P$6:$P$505,$B49)&gt;0,LARGE(거래장부_스윙트레이딩!$P$6:$P$505,$B49),""),"")</f>
        <v>190336</v>
      </c>
      <c r="G49" s="76" t="n">
        <f aca="false">IF($F49="","",IFERROR(INDEX(거래장부_스윙트레이딩!$Q$6:$Q$505,MATCH($F49,거래장부_스윙트레이딩!$P$6:$P$505,0)),""))</f>
        <v>0.0933019607843137</v>
      </c>
      <c r="H49" s="83" t="n">
        <f aca="false">IF($F49="","",IFERROR(INDEX(거래장부_스윙트레이딩!$R$6:$R$505,MATCH($F49,거래장부_스윙트레이딩!$P$6:$P$505,0)),""))</f>
        <v>25</v>
      </c>
    </row>
    <row r="50" customFormat="false" ht="15" hidden="false" customHeight="false" outlineLevel="0" collapsed="false">
      <c r="B50" s="79" t="n">
        <v>2</v>
      </c>
      <c r="C50" s="80" t="str">
        <f aca="false">IF($F50="","-",IFERROR(INDEX(거래장부_스윙트레이딩!$C$6:$C$505,MATCH($F50,거래장부_스윙트레이딩!$P$6:$P$505,0)),"-"))</f>
        <v>-</v>
      </c>
      <c r="D50" s="81" t="str">
        <f aca="false">IF($F50="","",IFERROR(INDEX(거래장부_스윙트레이딩!$D$6:$D$505,MATCH($F50,거래장부_스윙트레이딩!$P$6:$P$505,0)),""))</f>
        <v/>
      </c>
      <c r="E50" s="81" t="str">
        <f aca="false">IF($F50="","",IFERROR(INDEX(거래장부_스윙트레이딩!$H$6:$H$505,MATCH($F50,거래장부_스윙트레이딩!$P$6:$P$505,0)),""))</f>
        <v/>
      </c>
      <c r="F50" s="82" t="str">
        <f aca="false">IFERROR(IF(LARGE(거래장부_스윙트레이딩!$P$6:$P$505,$B50)&gt;0,LARGE(거래장부_스윙트레이딩!$P$6:$P$505,$B50),""),"")</f>
        <v/>
      </c>
      <c r="G50" s="76" t="str">
        <f aca="false">IF($F50="","",IFERROR(INDEX(거래장부_스윙트레이딩!$Q$6:$Q$505,MATCH($F50,거래장부_스윙트레이딩!$P$6:$P$505,0)),""))</f>
        <v/>
      </c>
      <c r="H50" s="83" t="str">
        <f aca="false">IF($F50="","",IFERROR(INDEX(거래장부_스윙트레이딩!$R$6:$R$505,MATCH($F50,거래장부_스윙트레이딩!$P$6:$P$505,0)),""))</f>
        <v/>
      </c>
    </row>
    <row r="51" customFormat="false" ht="15" hidden="false" customHeight="false" outlineLevel="0" collapsed="false">
      <c r="B51" s="79" t="n">
        <v>3</v>
      </c>
      <c r="C51" s="80" t="str">
        <f aca="false">IF($F51="","-",IFERROR(INDEX(거래장부_스윙트레이딩!$C$6:$C$505,MATCH($F51,거래장부_스윙트레이딩!$P$6:$P$505,0)),"-"))</f>
        <v>-</v>
      </c>
      <c r="D51" s="81" t="str">
        <f aca="false">IF($F51="","",IFERROR(INDEX(거래장부_스윙트레이딩!$D$6:$D$505,MATCH($F51,거래장부_스윙트레이딩!$P$6:$P$505,0)),""))</f>
        <v/>
      </c>
      <c r="E51" s="81" t="str">
        <f aca="false">IF($F51="","",IFERROR(INDEX(거래장부_스윙트레이딩!$H$6:$H$505,MATCH($F51,거래장부_스윙트레이딩!$P$6:$P$505,0)),""))</f>
        <v/>
      </c>
      <c r="F51" s="82" t="str">
        <f aca="false">IFERROR(IF(LARGE(거래장부_스윙트레이딩!$P$6:$P$505,$B51)&gt;0,LARGE(거래장부_스윙트레이딩!$P$6:$P$505,$B51),""),"")</f>
        <v/>
      </c>
      <c r="G51" s="76" t="str">
        <f aca="false">IF($F51="","",IFERROR(INDEX(거래장부_스윙트레이딩!$Q$6:$Q$505,MATCH($F51,거래장부_스윙트레이딩!$P$6:$P$505,0)),""))</f>
        <v/>
      </c>
      <c r="H51" s="83" t="str">
        <f aca="false">IF($F51="","",IFERROR(INDEX(거래장부_스윙트레이딩!$R$6:$R$505,MATCH($F51,거래장부_스윙트레이딩!$P$6:$P$505,0)),""))</f>
        <v/>
      </c>
    </row>
    <row r="52" customFormat="false" ht="15" hidden="false" customHeight="false" outlineLevel="0" collapsed="false">
      <c r="B52" s="79" t="n">
        <v>4</v>
      </c>
      <c r="C52" s="80" t="str">
        <f aca="false">IF($F52="","-",IFERROR(INDEX(거래장부_스윙트레이딩!$C$6:$C$505,MATCH($F52,거래장부_스윙트레이딩!$P$6:$P$505,0)),"-"))</f>
        <v>-</v>
      </c>
      <c r="D52" s="81" t="str">
        <f aca="false">IF($F52="","",IFERROR(INDEX(거래장부_스윙트레이딩!$D$6:$D$505,MATCH($F52,거래장부_스윙트레이딩!$P$6:$P$505,0)),""))</f>
        <v/>
      </c>
      <c r="E52" s="81" t="str">
        <f aca="false">IF($F52="","",IFERROR(INDEX(거래장부_스윙트레이딩!$H$6:$H$505,MATCH($F52,거래장부_스윙트레이딩!$P$6:$P$505,0)),""))</f>
        <v/>
      </c>
      <c r="F52" s="82" t="str">
        <f aca="false">IFERROR(IF(LARGE(거래장부_스윙트레이딩!$P$6:$P$505,$B52)&gt;0,LARGE(거래장부_스윙트레이딩!$P$6:$P$505,$B52),""),"")</f>
        <v/>
      </c>
      <c r="G52" s="76" t="str">
        <f aca="false">IF($F52="","",IFERROR(INDEX(거래장부_스윙트레이딩!$Q$6:$Q$505,MATCH($F52,거래장부_스윙트레이딩!$P$6:$P$505,0)),""))</f>
        <v/>
      </c>
      <c r="H52" s="83" t="str">
        <f aca="false">IF($F52="","",IFERROR(INDEX(거래장부_스윙트레이딩!$R$6:$R$505,MATCH($F52,거래장부_스윙트레이딩!$P$6:$P$505,0)),""))</f>
        <v/>
      </c>
    </row>
    <row r="53" customFormat="false" ht="15" hidden="false" customHeight="false" outlineLevel="0" collapsed="false">
      <c r="B53" s="79" t="n">
        <v>5</v>
      </c>
      <c r="C53" s="80" t="str">
        <f aca="false">IF($F53="","-",IFERROR(INDEX(거래장부_스윙트레이딩!$C$6:$C$505,MATCH($F53,거래장부_스윙트레이딩!$P$6:$P$505,0)),"-"))</f>
        <v>-</v>
      </c>
      <c r="D53" s="81" t="str">
        <f aca="false">IF($F53="","",IFERROR(INDEX(거래장부_스윙트레이딩!$D$6:$D$505,MATCH($F53,거래장부_스윙트레이딩!$P$6:$P$505,0)),""))</f>
        <v/>
      </c>
      <c r="E53" s="81" t="str">
        <f aca="false">IF($F53="","",IFERROR(INDEX(거래장부_스윙트레이딩!$H$6:$H$505,MATCH($F53,거래장부_스윙트레이딩!$P$6:$P$505,0)),""))</f>
        <v/>
      </c>
      <c r="F53" s="82" t="str">
        <f aca="false">IFERROR(IF(LARGE(거래장부_스윙트레이딩!$P$6:$P$505,$B53)&gt;0,LARGE(거래장부_스윙트레이딩!$P$6:$P$505,$B53),""),"")</f>
        <v/>
      </c>
      <c r="G53" s="76" t="str">
        <f aca="false">IF($F53="","",IFERROR(INDEX(거래장부_스윙트레이딩!$Q$6:$Q$505,MATCH($F53,거래장부_스윙트레이딩!$P$6:$P$505,0)),""))</f>
        <v/>
      </c>
      <c r="H53" s="83" t="str">
        <f aca="false">IF($F53="","",IFERROR(INDEX(거래장부_스윙트레이딩!$R$6:$R$505,MATCH($F53,거래장부_스윙트레이딩!$P$6:$P$505,0)),""))</f>
        <v/>
      </c>
    </row>
    <row r="55" customFormat="false" ht="15" hidden="false" customHeight="false" outlineLevel="0" collapsed="false">
      <c r="B55" s="18" t="s">
        <v>176</v>
      </c>
      <c r="C55" s="19"/>
      <c r="D55" s="19"/>
      <c r="E55" s="19"/>
      <c r="F55" s="19"/>
      <c r="G55" s="19"/>
      <c r="H55" s="19"/>
    </row>
    <row r="56" customFormat="false" ht="15" hidden="false" customHeight="false" outlineLevel="0" collapsed="false">
      <c r="B56" s="7" t="s">
        <v>175</v>
      </c>
      <c r="C56" s="7" t="s">
        <v>97</v>
      </c>
      <c r="D56" s="7" t="s">
        <v>98</v>
      </c>
      <c r="E56" s="7" t="s">
        <v>102</v>
      </c>
      <c r="F56" s="7" t="s">
        <v>33</v>
      </c>
      <c r="G56" s="7" t="s">
        <v>35</v>
      </c>
      <c r="H56" s="7" t="s">
        <v>45</v>
      </c>
    </row>
    <row r="57" customFormat="false" ht="15" hidden="false" customHeight="false" outlineLevel="0" collapsed="false">
      <c r="B57" s="79" t="n">
        <v>1</v>
      </c>
      <c r="C57" s="80" t="str">
        <f aca="false">IF($F57="","-",IFERROR(INDEX(거래장부_스윙트레이딩!$C$6:$C$505,MATCH($F57,거래장부_스윙트레이딩!$P$6:$P$505,0)),"-"))</f>
        <v>NAVER</v>
      </c>
      <c r="D57" s="81" t="n">
        <f aca="false">IF($F57="","",IFERROR(INDEX(거래장부_스윙트레이딩!$D$6:$D$505,MATCH($F57,거래장부_스윙트레이딩!$P$6:$P$505,0)),""))</f>
        <v>45964</v>
      </c>
      <c r="E57" s="81" t="n">
        <f aca="false">IF($F57="","",IFERROR(INDEX(거래장부_스윙트레이딩!$H$6:$H$505,MATCH($F57,거래장부_스윙트레이딩!$P$6:$P$505,0)),""))</f>
        <v>45971</v>
      </c>
      <c r="F57" s="82" t="n">
        <f aca="false">IFERROR(IF(SMALL(거래장부_스윙트레이딩!$P$6:$P$505,$B57)&lt;0,SMALL(거래장부_스윙트레이딩!$P$6:$P$505,$B57),""),"")</f>
        <v>-99425</v>
      </c>
      <c r="G57" s="76" t="n">
        <f aca="false">IF($F57="","",IFERROR(INDEX(거래장부_스윙트레이딩!$Q$6:$Q$505,MATCH($F57,거래장부_스윙트레이딩!$P$6:$P$505,0)),""))</f>
        <v>-0.0578052325581395</v>
      </c>
      <c r="H57" s="83" t="n">
        <f aca="false">IF($F57="","",IFERROR(INDEX(거래장부_스윙트레이딩!$R$6:$R$505,MATCH($F57,거래장부_스윙트레이딩!$P$6:$P$505,0)),""))</f>
        <v>7</v>
      </c>
    </row>
    <row r="58" customFormat="false" ht="15" hidden="false" customHeight="false" outlineLevel="0" collapsed="false">
      <c r="B58" s="79" t="n">
        <v>2</v>
      </c>
      <c r="C58" s="80" t="str">
        <f aca="false">IF($F58="","-",IFERROR(INDEX(거래장부_스윙트레이딩!$C$6:$C$505,MATCH($F58,거래장부_스윙트레이딩!$P$6:$P$505,0)),"-"))</f>
        <v>-</v>
      </c>
      <c r="D58" s="81" t="str">
        <f aca="false">IF($F58="","",IFERROR(INDEX(거래장부_스윙트레이딩!$D$6:$D$505,MATCH($F58,거래장부_스윙트레이딩!$P$6:$P$505,0)),""))</f>
        <v/>
      </c>
      <c r="E58" s="81" t="str">
        <f aca="false">IF($F58="","",IFERROR(INDEX(거래장부_스윙트레이딩!$H$6:$H$505,MATCH($F58,거래장부_스윙트레이딩!$P$6:$P$505,0)),""))</f>
        <v/>
      </c>
      <c r="F58" s="82" t="str">
        <f aca="false">IFERROR(IF(SMALL(거래장부_스윙트레이딩!$P$6:$P$505,$B58)&lt;0,SMALL(거래장부_스윙트레이딩!$P$6:$P$505,$B58),""),"")</f>
        <v/>
      </c>
      <c r="G58" s="76" t="str">
        <f aca="false">IF($F58="","",IFERROR(INDEX(거래장부_스윙트레이딩!$Q$6:$Q$505,MATCH($F58,거래장부_스윙트레이딩!$P$6:$P$505,0)),""))</f>
        <v/>
      </c>
      <c r="H58" s="83" t="str">
        <f aca="false">IF($F58="","",IFERROR(INDEX(거래장부_스윙트레이딩!$R$6:$R$505,MATCH($F58,거래장부_스윙트레이딩!$P$6:$P$505,0)),""))</f>
        <v/>
      </c>
    </row>
    <row r="59" customFormat="false" ht="15" hidden="false" customHeight="false" outlineLevel="0" collapsed="false">
      <c r="B59" s="79" t="n">
        <v>3</v>
      </c>
      <c r="C59" s="80" t="str">
        <f aca="false">IF($F59="","-",IFERROR(INDEX(거래장부_스윙트레이딩!$C$6:$C$505,MATCH($F59,거래장부_스윙트레이딩!$P$6:$P$505,0)),"-"))</f>
        <v>-</v>
      </c>
      <c r="D59" s="81" t="str">
        <f aca="false">IF($F59="","",IFERROR(INDEX(거래장부_스윙트레이딩!$D$6:$D$505,MATCH($F59,거래장부_스윙트레이딩!$P$6:$P$505,0)),""))</f>
        <v/>
      </c>
      <c r="E59" s="81" t="str">
        <f aca="false">IF($F59="","",IFERROR(INDEX(거래장부_스윙트레이딩!$H$6:$H$505,MATCH($F59,거래장부_스윙트레이딩!$P$6:$P$505,0)),""))</f>
        <v/>
      </c>
      <c r="F59" s="82" t="str">
        <f aca="false">IFERROR(IF(SMALL(거래장부_스윙트레이딩!$P$6:$P$505,$B59)&lt;0,SMALL(거래장부_스윙트레이딩!$P$6:$P$505,$B59),""),"")</f>
        <v/>
      </c>
      <c r="G59" s="76" t="str">
        <f aca="false">IF($F59="","",IFERROR(INDEX(거래장부_스윙트레이딩!$Q$6:$Q$505,MATCH($F59,거래장부_스윙트레이딩!$P$6:$P$505,0)),""))</f>
        <v/>
      </c>
      <c r="H59" s="83" t="str">
        <f aca="false">IF($F59="","",IFERROR(INDEX(거래장부_스윙트레이딩!$R$6:$R$505,MATCH($F59,거래장부_스윙트레이딩!$P$6:$P$505,0)),""))</f>
        <v/>
      </c>
    </row>
    <row r="60" customFormat="false" ht="15" hidden="false" customHeight="false" outlineLevel="0" collapsed="false">
      <c r="B60" s="79" t="n">
        <v>4</v>
      </c>
      <c r="C60" s="80" t="str">
        <f aca="false">IF($F60="","-",IFERROR(INDEX(거래장부_스윙트레이딩!$C$6:$C$505,MATCH($F60,거래장부_스윙트레이딩!$P$6:$P$505,0)),"-"))</f>
        <v>-</v>
      </c>
      <c r="D60" s="81" t="str">
        <f aca="false">IF($F60="","",IFERROR(INDEX(거래장부_스윙트레이딩!$D$6:$D$505,MATCH($F60,거래장부_스윙트레이딩!$P$6:$P$505,0)),""))</f>
        <v/>
      </c>
      <c r="E60" s="81" t="str">
        <f aca="false">IF($F60="","",IFERROR(INDEX(거래장부_스윙트레이딩!$H$6:$H$505,MATCH($F60,거래장부_스윙트레이딩!$P$6:$P$505,0)),""))</f>
        <v/>
      </c>
      <c r="F60" s="82" t="str">
        <f aca="false">IFERROR(IF(SMALL(거래장부_스윙트레이딩!$P$6:$P$505,$B60)&lt;0,SMALL(거래장부_스윙트레이딩!$P$6:$P$505,$B60),""),"")</f>
        <v/>
      </c>
      <c r="G60" s="76" t="str">
        <f aca="false">IF($F60="","",IFERROR(INDEX(거래장부_스윙트레이딩!$Q$6:$Q$505,MATCH($F60,거래장부_스윙트레이딩!$P$6:$P$505,0)),""))</f>
        <v/>
      </c>
      <c r="H60" s="83" t="str">
        <f aca="false">IF($F60="","",IFERROR(INDEX(거래장부_스윙트레이딩!$R$6:$R$505,MATCH($F60,거래장부_스윙트레이딩!$P$6:$P$505,0)),""))</f>
        <v/>
      </c>
    </row>
    <row r="61" customFormat="false" ht="15" hidden="false" customHeight="false" outlineLevel="0" collapsed="false">
      <c r="B61" s="79" t="n">
        <v>5</v>
      </c>
      <c r="C61" s="80" t="str">
        <f aca="false">IF($F61="","-",IFERROR(INDEX(거래장부_스윙트레이딩!$C$6:$C$505,MATCH($F61,거래장부_스윙트레이딩!$P$6:$P$505,0)),"-"))</f>
        <v>-</v>
      </c>
      <c r="D61" s="81" t="str">
        <f aca="false">IF($F61="","",IFERROR(INDEX(거래장부_스윙트레이딩!$D$6:$D$505,MATCH($F61,거래장부_스윙트레이딩!$P$6:$P$505,0)),""))</f>
        <v/>
      </c>
      <c r="E61" s="81" t="str">
        <f aca="false">IF($F61="","",IFERROR(INDEX(거래장부_스윙트레이딩!$H$6:$H$505,MATCH($F61,거래장부_스윙트레이딩!$P$6:$P$505,0)),""))</f>
        <v/>
      </c>
      <c r="F61" s="82" t="str">
        <f aca="false">IFERROR(IF(SMALL(거래장부_스윙트레이딩!$P$6:$P$505,$B61)&lt;0,SMALL(거래장부_스윙트레이딩!$P$6:$P$505,$B61),""),"")</f>
        <v/>
      </c>
      <c r="G61" s="76" t="str">
        <f aca="false">IF($F61="","",IFERROR(INDEX(거래장부_스윙트레이딩!$Q$6:$Q$505,MATCH($F61,거래장부_스윙트레이딩!$P$6:$P$505,0)),""))</f>
        <v/>
      </c>
      <c r="H61" s="83" t="str">
        <f aca="false">IF($F61="","",IFERROR(INDEX(거래장부_스윙트레이딩!$R$6:$R$505,MATCH($F61,거래장부_스윙트레이딩!$P$6:$P$505,0)),""))</f>
        <v/>
      </c>
    </row>
    <row r="64" customFormat="false" ht="15" hidden="false" customHeight="false" outlineLevel="0" collapsed="false">
      <c r="B64" s="18" t="s">
        <v>177</v>
      </c>
      <c r="C64" s="19"/>
      <c r="D64" s="19"/>
      <c r="E64" s="19"/>
      <c r="F64" s="19"/>
      <c r="G64" s="19"/>
      <c r="H64" s="19"/>
    </row>
    <row r="65" customFormat="false" ht="30" hidden="false" customHeight="true" outlineLevel="0" collapsed="false">
      <c r="B65" s="7" t="s">
        <v>178</v>
      </c>
      <c r="C65" s="7" t="s">
        <v>167</v>
      </c>
      <c r="D65" s="7" t="s">
        <v>168</v>
      </c>
      <c r="E65" s="7" t="s">
        <v>37</v>
      </c>
      <c r="F65" s="7" t="s">
        <v>172</v>
      </c>
      <c r="G65" s="7" t="s">
        <v>151</v>
      </c>
      <c r="H65" s="7" t="s">
        <v>179</v>
      </c>
    </row>
    <row r="66" customFormat="false" ht="15" hidden="false" customHeight="false" outlineLevel="0" collapsed="false">
      <c r="B66" s="84"/>
      <c r="C66" s="72" t="str">
        <f aca="false">IF($B66="","",COUNTIFS(거래장부_스윙트레이딩!$C$6:$C$505,$B66,거래장부_스윙트레이딩!$L$6:$L$505,"청산"))</f>
        <v/>
      </c>
      <c r="D66" s="73" t="str">
        <f aca="false">IF($B66="","",SUMIFS(거래장부_스윙트레이딩!$P$6:$P$505,거래장부_스윙트레이딩!$C$6:$C$505,$B66))</f>
        <v/>
      </c>
      <c r="E66" s="74" t="str">
        <f aca="false">IFERROR(COUNTIFS(거래장부_스윙트레이딩!$C$6:$C$505,$B66,거래장부_스윙트레이딩!$P$6:$P$505,"&gt;0")/$C66,"")</f>
        <v/>
      </c>
      <c r="F66" s="76" t="str">
        <f aca="false">IFERROR(AVERAGEIFS(거래장부_스윙트레이딩!$Q$6:$Q$505,거래장부_스윙트레이딩!$C$6:$C$505,$B66),"")</f>
        <v/>
      </c>
      <c r="G66" s="85" t="str">
        <f aca="false">IFERROR(AVERAGEIFS(거래장부_스윙트레이딩!$R$6:$R$505,거래장부_스윙트레이딩!$C$6:$C$505,$B66,거래장부_스윙트레이딩!$L$6:$L$505,"청산"),"")</f>
        <v/>
      </c>
      <c r="H66" s="75" t="str">
        <f aca="false">IF($B66="","",SUMIFS(거래장부_스윙트레이딩!$M$6:$M$505,거래장부_스윙트레이딩!$C$6:$C$505,$B66,거래장부_스윙트레이딩!$L$6:$L$505,"청산"))</f>
        <v/>
      </c>
    </row>
    <row r="67" customFormat="false" ht="15" hidden="false" customHeight="false" outlineLevel="0" collapsed="false">
      <c r="B67" s="84"/>
      <c r="C67" s="72" t="str">
        <f aca="false">IF($B67="","",COUNTIFS(거래장부_스윙트레이딩!$C$6:$C$505,$B67,거래장부_스윙트레이딩!$L$6:$L$505,"청산"))</f>
        <v/>
      </c>
      <c r="D67" s="73" t="str">
        <f aca="false">IF($B67="","",SUMIFS(거래장부_스윙트레이딩!$P$6:$P$505,거래장부_스윙트레이딩!$C$6:$C$505,$B67))</f>
        <v/>
      </c>
      <c r="E67" s="74" t="str">
        <f aca="false">IFERROR(COUNTIFS(거래장부_스윙트레이딩!$C$6:$C$505,$B67,거래장부_스윙트레이딩!$P$6:$P$505,"&gt;0")/$C67,"")</f>
        <v/>
      </c>
      <c r="F67" s="76" t="str">
        <f aca="false">IFERROR(AVERAGEIFS(거래장부_스윙트레이딩!$Q$6:$Q$505,거래장부_스윙트레이딩!$C$6:$C$505,$B67),"")</f>
        <v/>
      </c>
      <c r="G67" s="85" t="str">
        <f aca="false">IFERROR(AVERAGEIFS(거래장부_스윙트레이딩!$R$6:$R$505,거래장부_스윙트레이딩!$C$6:$C$505,$B67,거래장부_스윙트레이딩!$L$6:$L$505,"청산"),"")</f>
        <v/>
      </c>
      <c r="H67" s="75" t="str">
        <f aca="false">IF($B67="","",SUMIFS(거래장부_스윙트레이딩!$M$6:$M$505,거래장부_스윙트레이딩!$C$6:$C$505,$B67,거래장부_스윙트레이딩!$L$6:$L$505,"청산"))</f>
        <v/>
      </c>
    </row>
    <row r="68" customFormat="false" ht="15" hidden="false" customHeight="false" outlineLevel="0" collapsed="false">
      <c r="B68" s="84"/>
      <c r="C68" s="72" t="str">
        <f aca="false">IF($B68="","",COUNTIFS(거래장부_스윙트레이딩!$C$6:$C$505,$B68,거래장부_스윙트레이딩!$L$6:$L$505,"청산"))</f>
        <v/>
      </c>
      <c r="D68" s="73" t="str">
        <f aca="false">IF($B68="","",SUMIFS(거래장부_스윙트레이딩!$P$6:$P$505,거래장부_스윙트레이딩!$C$6:$C$505,$B68))</f>
        <v/>
      </c>
      <c r="E68" s="74" t="str">
        <f aca="false">IFERROR(COUNTIFS(거래장부_스윙트레이딩!$C$6:$C$505,$B68,거래장부_스윙트레이딩!$P$6:$P$505,"&gt;0")/$C68,"")</f>
        <v/>
      </c>
      <c r="F68" s="76" t="str">
        <f aca="false">IFERROR(AVERAGEIFS(거래장부_스윙트레이딩!$Q$6:$Q$505,거래장부_스윙트레이딩!$C$6:$C$505,$B68),"")</f>
        <v/>
      </c>
      <c r="G68" s="85" t="str">
        <f aca="false">IFERROR(AVERAGEIFS(거래장부_스윙트레이딩!$R$6:$R$505,거래장부_스윙트레이딩!$C$6:$C$505,$B68,거래장부_스윙트레이딩!$L$6:$L$505,"청산"),"")</f>
        <v/>
      </c>
      <c r="H68" s="75" t="str">
        <f aca="false">IF($B68="","",SUMIFS(거래장부_스윙트레이딩!$M$6:$M$505,거래장부_스윙트레이딩!$C$6:$C$505,$B68,거래장부_스윙트레이딩!$L$6:$L$505,"청산"))</f>
        <v/>
      </c>
    </row>
    <row r="69" customFormat="false" ht="15" hidden="false" customHeight="false" outlineLevel="0" collapsed="false">
      <c r="B69" s="84"/>
      <c r="C69" s="72" t="str">
        <f aca="false">IF($B69="","",COUNTIFS(거래장부_스윙트레이딩!$C$6:$C$505,$B69,거래장부_스윙트레이딩!$L$6:$L$505,"청산"))</f>
        <v/>
      </c>
      <c r="D69" s="73" t="str">
        <f aca="false">IF($B69="","",SUMIFS(거래장부_스윙트레이딩!$P$6:$P$505,거래장부_스윙트레이딩!$C$6:$C$505,$B69))</f>
        <v/>
      </c>
      <c r="E69" s="74" t="str">
        <f aca="false">IFERROR(COUNTIFS(거래장부_스윙트레이딩!$C$6:$C$505,$B69,거래장부_스윙트레이딩!$P$6:$P$505,"&gt;0")/$C69,"")</f>
        <v/>
      </c>
      <c r="F69" s="76" t="str">
        <f aca="false">IFERROR(AVERAGEIFS(거래장부_스윙트레이딩!$Q$6:$Q$505,거래장부_스윙트레이딩!$C$6:$C$505,$B69),"")</f>
        <v/>
      </c>
      <c r="G69" s="85" t="str">
        <f aca="false">IFERROR(AVERAGEIFS(거래장부_스윙트레이딩!$R$6:$R$505,거래장부_스윙트레이딩!$C$6:$C$505,$B69,거래장부_스윙트레이딩!$L$6:$L$505,"청산"),"")</f>
        <v/>
      </c>
      <c r="H69" s="75" t="str">
        <f aca="false">IF($B69="","",SUMIFS(거래장부_스윙트레이딩!$M$6:$M$505,거래장부_스윙트레이딩!$C$6:$C$505,$B69,거래장부_스윙트레이딩!$L$6:$L$505,"청산"))</f>
        <v/>
      </c>
    </row>
    <row r="70" customFormat="false" ht="15" hidden="false" customHeight="false" outlineLevel="0" collapsed="false">
      <c r="B70" s="84"/>
      <c r="C70" s="72" t="str">
        <f aca="false">IF($B70="","",COUNTIFS(거래장부_스윙트레이딩!$C$6:$C$505,$B70,거래장부_스윙트레이딩!$L$6:$L$505,"청산"))</f>
        <v/>
      </c>
      <c r="D70" s="73" t="str">
        <f aca="false">IF($B70="","",SUMIFS(거래장부_스윙트레이딩!$P$6:$P$505,거래장부_스윙트레이딩!$C$6:$C$505,$B70))</f>
        <v/>
      </c>
      <c r="E70" s="74" t="str">
        <f aca="false">IFERROR(COUNTIFS(거래장부_스윙트레이딩!$C$6:$C$505,$B70,거래장부_스윙트레이딩!$P$6:$P$505,"&gt;0")/$C70,"")</f>
        <v/>
      </c>
      <c r="F70" s="76" t="str">
        <f aca="false">IFERROR(AVERAGEIFS(거래장부_스윙트레이딩!$Q$6:$Q$505,거래장부_스윙트레이딩!$C$6:$C$505,$B70),"")</f>
        <v/>
      </c>
      <c r="G70" s="85" t="str">
        <f aca="false">IFERROR(AVERAGEIFS(거래장부_스윙트레이딩!$R$6:$R$505,거래장부_스윙트레이딩!$C$6:$C$505,$B70,거래장부_스윙트레이딩!$L$6:$L$505,"청산"),"")</f>
        <v/>
      </c>
      <c r="H70" s="75" t="str">
        <f aca="false">IF($B70="","",SUMIFS(거래장부_스윙트레이딩!$M$6:$M$505,거래장부_스윙트레이딩!$C$6:$C$505,$B70,거래장부_스윙트레이딩!$L$6:$L$505,"청산"))</f>
        <v/>
      </c>
    </row>
    <row r="71" customFormat="false" ht="15" hidden="false" customHeight="false" outlineLevel="0" collapsed="false">
      <c r="B71" s="84"/>
      <c r="C71" s="72" t="str">
        <f aca="false">IF($B71="","",COUNTIFS(거래장부_스윙트레이딩!$C$6:$C$505,$B71,거래장부_스윙트레이딩!$L$6:$L$505,"청산"))</f>
        <v/>
      </c>
      <c r="D71" s="73" t="str">
        <f aca="false">IF($B71="","",SUMIFS(거래장부_스윙트레이딩!$P$6:$P$505,거래장부_스윙트레이딩!$C$6:$C$505,$B71))</f>
        <v/>
      </c>
      <c r="E71" s="74" t="str">
        <f aca="false">IFERROR(COUNTIFS(거래장부_스윙트레이딩!$C$6:$C$505,$B71,거래장부_스윙트레이딩!$P$6:$P$505,"&gt;0")/$C71,"")</f>
        <v/>
      </c>
      <c r="F71" s="76" t="str">
        <f aca="false">IFERROR(AVERAGEIFS(거래장부_스윙트레이딩!$Q$6:$Q$505,거래장부_스윙트레이딩!$C$6:$C$505,$B71),"")</f>
        <v/>
      </c>
      <c r="G71" s="85" t="str">
        <f aca="false">IFERROR(AVERAGEIFS(거래장부_스윙트레이딩!$R$6:$R$505,거래장부_스윙트레이딩!$C$6:$C$505,$B71,거래장부_스윙트레이딩!$L$6:$L$505,"청산"),"")</f>
        <v/>
      </c>
      <c r="H71" s="75" t="str">
        <f aca="false">IF($B71="","",SUMIFS(거래장부_스윙트레이딩!$M$6:$M$505,거래장부_스윙트레이딩!$C$6:$C$505,$B71,거래장부_스윙트레이딩!$L$6:$L$505,"청산"))</f>
        <v/>
      </c>
    </row>
    <row r="72" customFormat="false" ht="15" hidden="false" customHeight="false" outlineLevel="0" collapsed="false">
      <c r="B72" s="84"/>
      <c r="C72" s="72" t="str">
        <f aca="false">IF($B72="","",COUNTIFS(거래장부_스윙트레이딩!$C$6:$C$505,$B72,거래장부_스윙트레이딩!$L$6:$L$505,"청산"))</f>
        <v/>
      </c>
      <c r="D72" s="73" t="str">
        <f aca="false">IF($B72="","",SUMIFS(거래장부_스윙트레이딩!$P$6:$P$505,거래장부_스윙트레이딩!$C$6:$C$505,$B72))</f>
        <v/>
      </c>
      <c r="E72" s="74" t="str">
        <f aca="false">IFERROR(COUNTIFS(거래장부_스윙트레이딩!$C$6:$C$505,$B72,거래장부_스윙트레이딩!$P$6:$P$505,"&gt;0")/$C72,"")</f>
        <v/>
      </c>
      <c r="F72" s="76" t="str">
        <f aca="false">IFERROR(AVERAGEIFS(거래장부_스윙트레이딩!$Q$6:$Q$505,거래장부_스윙트레이딩!$C$6:$C$505,$B72),"")</f>
        <v/>
      </c>
      <c r="G72" s="85" t="str">
        <f aca="false">IFERROR(AVERAGEIFS(거래장부_스윙트레이딩!$R$6:$R$505,거래장부_스윙트레이딩!$C$6:$C$505,$B72,거래장부_스윙트레이딩!$L$6:$L$505,"청산"),"")</f>
        <v/>
      </c>
      <c r="H72" s="75" t="str">
        <f aca="false">IF($B72="","",SUMIFS(거래장부_스윙트레이딩!$M$6:$M$505,거래장부_스윙트레이딩!$C$6:$C$505,$B72,거래장부_스윙트레이딩!$L$6:$L$505,"청산"))</f>
        <v/>
      </c>
    </row>
    <row r="73" customFormat="false" ht="15" hidden="false" customHeight="false" outlineLevel="0" collapsed="false">
      <c r="B73" s="84"/>
      <c r="C73" s="72" t="str">
        <f aca="false">IF($B73="","",COUNTIFS(거래장부_스윙트레이딩!$C$6:$C$505,$B73,거래장부_스윙트레이딩!$L$6:$L$505,"청산"))</f>
        <v/>
      </c>
      <c r="D73" s="73" t="str">
        <f aca="false">IF($B73="","",SUMIFS(거래장부_스윙트레이딩!$P$6:$P$505,거래장부_스윙트레이딩!$C$6:$C$505,$B73))</f>
        <v/>
      </c>
      <c r="E73" s="74" t="str">
        <f aca="false">IFERROR(COUNTIFS(거래장부_스윙트레이딩!$C$6:$C$505,$B73,거래장부_스윙트레이딩!$P$6:$P$505,"&gt;0")/$C73,"")</f>
        <v/>
      </c>
      <c r="F73" s="76" t="str">
        <f aca="false">IFERROR(AVERAGEIFS(거래장부_스윙트레이딩!$Q$6:$Q$505,거래장부_스윙트레이딩!$C$6:$C$505,$B73),"")</f>
        <v/>
      </c>
      <c r="G73" s="85" t="str">
        <f aca="false">IFERROR(AVERAGEIFS(거래장부_스윙트레이딩!$R$6:$R$505,거래장부_스윙트레이딩!$C$6:$C$505,$B73,거래장부_스윙트레이딩!$L$6:$L$505,"청산"),"")</f>
        <v/>
      </c>
      <c r="H73" s="75" t="str">
        <f aca="false">IF($B73="","",SUMIFS(거래장부_스윙트레이딩!$M$6:$M$505,거래장부_스윙트레이딩!$C$6:$C$505,$B73,거래장부_스윙트레이딩!$L$6:$L$505,"청산"))</f>
        <v/>
      </c>
    </row>
    <row r="74" customFormat="false" ht="15" hidden="false" customHeight="false" outlineLevel="0" collapsed="false">
      <c r="B74" s="84"/>
      <c r="C74" s="72" t="str">
        <f aca="false">IF($B74="","",COUNTIFS(거래장부_스윙트레이딩!$C$6:$C$505,$B74,거래장부_스윙트레이딩!$L$6:$L$505,"청산"))</f>
        <v/>
      </c>
      <c r="D74" s="73" t="str">
        <f aca="false">IF($B74="","",SUMIFS(거래장부_스윙트레이딩!$P$6:$P$505,거래장부_스윙트레이딩!$C$6:$C$505,$B74))</f>
        <v/>
      </c>
      <c r="E74" s="74" t="str">
        <f aca="false">IFERROR(COUNTIFS(거래장부_스윙트레이딩!$C$6:$C$505,$B74,거래장부_스윙트레이딩!$P$6:$P$505,"&gt;0")/$C74,"")</f>
        <v/>
      </c>
      <c r="F74" s="76" t="str">
        <f aca="false">IFERROR(AVERAGEIFS(거래장부_스윙트레이딩!$Q$6:$Q$505,거래장부_스윙트레이딩!$C$6:$C$505,$B74),"")</f>
        <v/>
      </c>
      <c r="G74" s="85" t="str">
        <f aca="false">IFERROR(AVERAGEIFS(거래장부_스윙트레이딩!$R$6:$R$505,거래장부_스윙트레이딩!$C$6:$C$505,$B74,거래장부_스윙트레이딩!$L$6:$L$505,"청산"),"")</f>
        <v/>
      </c>
      <c r="H74" s="75" t="str">
        <f aca="false">IF($B74="","",SUMIFS(거래장부_스윙트레이딩!$M$6:$M$505,거래장부_스윙트레이딩!$C$6:$C$505,$B74,거래장부_스윙트레이딩!$L$6:$L$505,"청산"))</f>
        <v/>
      </c>
    </row>
    <row r="75" customFormat="false" ht="15" hidden="false" customHeight="false" outlineLevel="0" collapsed="false">
      <c r="B75" s="84"/>
      <c r="C75" s="72" t="str">
        <f aca="false">IF($B75="","",COUNTIFS(거래장부_스윙트레이딩!$C$6:$C$505,$B75,거래장부_스윙트레이딩!$L$6:$L$505,"청산"))</f>
        <v/>
      </c>
      <c r="D75" s="73" t="str">
        <f aca="false">IF($B75="","",SUMIFS(거래장부_스윙트레이딩!$P$6:$P$505,거래장부_스윙트레이딩!$C$6:$C$505,$B75))</f>
        <v/>
      </c>
      <c r="E75" s="74" t="str">
        <f aca="false">IFERROR(COUNTIFS(거래장부_스윙트레이딩!$C$6:$C$505,$B75,거래장부_스윙트레이딩!$P$6:$P$505,"&gt;0")/$C75,"")</f>
        <v/>
      </c>
      <c r="F75" s="76" t="str">
        <f aca="false">IFERROR(AVERAGEIFS(거래장부_스윙트레이딩!$Q$6:$Q$505,거래장부_스윙트레이딩!$C$6:$C$505,$B75),"")</f>
        <v/>
      </c>
      <c r="G75" s="85" t="str">
        <f aca="false">IFERROR(AVERAGEIFS(거래장부_스윙트레이딩!$R$6:$R$505,거래장부_스윙트레이딩!$C$6:$C$505,$B75,거래장부_스윙트레이딩!$L$6:$L$505,"청산"),"")</f>
        <v/>
      </c>
      <c r="H75" s="75" t="str">
        <f aca="false">IF($B75="","",SUMIFS(거래장부_스윙트레이딩!$M$6:$M$505,거래장부_스윙트레이딩!$C$6:$C$505,$B75,거래장부_스윙트레이딩!$L$6:$L$505,"청산"))</f>
        <v/>
      </c>
    </row>
    <row r="76" customFormat="false" ht="15" hidden="false" customHeight="false" outlineLevel="0" collapsed="false">
      <c r="B76" s="84"/>
      <c r="C76" s="72" t="str">
        <f aca="false">IF($B76="","",COUNTIFS(거래장부_스윙트레이딩!$C$6:$C$505,$B76,거래장부_스윙트레이딩!$L$6:$L$505,"청산"))</f>
        <v/>
      </c>
      <c r="D76" s="73" t="str">
        <f aca="false">IF($B76="","",SUMIFS(거래장부_스윙트레이딩!$P$6:$P$505,거래장부_스윙트레이딩!$C$6:$C$505,$B76))</f>
        <v/>
      </c>
      <c r="E76" s="74" t="str">
        <f aca="false">IFERROR(COUNTIFS(거래장부_스윙트레이딩!$C$6:$C$505,$B76,거래장부_스윙트레이딩!$P$6:$P$505,"&gt;0")/$C76,"")</f>
        <v/>
      </c>
      <c r="F76" s="76" t="str">
        <f aca="false">IFERROR(AVERAGEIFS(거래장부_스윙트레이딩!$Q$6:$Q$505,거래장부_스윙트레이딩!$C$6:$C$505,$B76),"")</f>
        <v/>
      </c>
      <c r="G76" s="85" t="str">
        <f aca="false">IFERROR(AVERAGEIFS(거래장부_스윙트레이딩!$R$6:$R$505,거래장부_스윙트레이딩!$C$6:$C$505,$B76,거래장부_스윙트레이딩!$L$6:$L$505,"청산"),"")</f>
        <v/>
      </c>
      <c r="H76" s="75" t="str">
        <f aca="false">IF($B76="","",SUMIFS(거래장부_스윙트레이딩!$M$6:$M$505,거래장부_스윙트레이딩!$C$6:$C$505,$B76,거래장부_스윙트레이딩!$L$6:$L$505,"청산"))</f>
        <v/>
      </c>
    </row>
    <row r="77" customFormat="false" ht="15" hidden="false" customHeight="false" outlineLevel="0" collapsed="false">
      <c r="B77" s="84"/>
      <c r="C77" s="72" t="str">
        <f aca="false">IF($B77="","",COUNTIFS(거래장부_스윙트레이딩!$C$6:$C$505,$B77,거래장부_스윙트레이딩!$L$6:$L$505,"청산"))</f>
        <v/>
      </c>
      <c r="D77" s="73" t="str">
        <f aca="false">IF($B77="","",SUMIFS(거래장부_스윙트레이딩!$P$6:$P$505,거래장부_스윙트레이딩!$C$6:$C$505,$B77))</f>
        <v/>
      </c>
      <c r="E77" s="74" t="str">
        <f aca="false">IFERROR(COUNTIFS(거래장부_스윙트레이딩!$C$6:$C$505,$B77,거래장부_스윙트레이딩!$P$6:$P$505,"&gt;0")/$C77,"")</f>
        <v/>
      </c>
      <c r="F77" s="76" t="str">
        <f aca="false">IFERROR(AVERAGEIFS(거래장부_스윙트레이딩!$Q$6:$Q$505,거래장부_스윙트레이딩!$C$6:$C$505,$B77),"")</f>
        <v/>
      </c>
      <c r="G77" s="85" t="str">
        <f aca="false">IFERROR(AVERAGEIFS(거래장부_스윙트레이딩!$R$6:$R$505,거래장부_스윙트레이딩!$C$6:$C$505,$B77,거래장부_스윙트레이딩!$L$6:$L$505,"청산"),"")</f>
        <v/>
      </c>
      <c r="H77" s="75" t="str">
        <f aca="false">IF($B77="","",SUMIFS(거래장부_스윙트레이딩!$M$6:$M$505,거래장부_스윙트레이딩!$C$6:$C$505,$B77,거래장부_스윙트레이딩!$L$6:$L$505,"청산"))</f>
        <v/>
      </c>
    </row>
    <row r="78" customFormat="false" ht="15" hidden="false" customHeight="false" outlineLevel="0" collapsed="false">
      <c r="B78" s="84"/>
      <c r="C78" s="72" t="str">
        <f aca="false">IF($B78="","",COUNTIFS(거래장부_스윙트레이딩!$C$6:$C$505,$B78,거래장부_스윙트레이딩!$L$6:$L$505,"청산"))</f>
        <v/>
      </c>
      <c r="D78" s="73" t="str">
        <f aca="false">IF($B78="","",SUMIFS(거래장부_스윙트레이딩!$P$6:$P$505,거래장부_스윙트레이딩!$C$6:$C$505,$B78))</f>
        <v/>
      </c>
      <c r="E78" s="74" t="str">
        <f aca="false">IFERROR(COUNTIFS(거래장부_스윙트레이딩!$C$6:$C$505,$B78,거래장부_스윙트레이딩!$P$6:$P$505,"&gt;0")/$C78,"")</f>
        <v/>
      </c>
      <c r="F78" s="76" t="str">
        <f aca="false">IFERROR(AVERAGEIFS(거래장부_스윙트레이딩!$Q$6:$Q$505,거래장부_스윙트레이딩!$C$6:$C$505,$B78),"")</f>
        <v/>
      </c>
      <c r="G78" s="85" t="str">
        <f aca="false">IFERROR(AVERAGEIFS(거래장부_스윙트레이딩!$R$6:$R$505,거래장부_스윙트레이딩!$C$6:$C$505,$B78,거래장부_스윙트레이딩!$L$6:$L$505,"청산"),"")</f>
        <v/>
      </c>
      <c r="H78" s="75" t="str">
        <f aca="false">IF($B78="","",SUMIFS(거래장부_스윙트레이딩!$M$6:$M$505,거래장부_스윙트레이딩!$C$6:$C$505,$B78,거래장부_스윙트레이딩!$L$6:$L$505,"청산"))</f>
        <v/>
      </c>
    </row>
    <row r="79" customFormat="false" ht="15" hidden="false" customHeight="false" outlineLevel="0" collapsed="false">
      <c r="B79" s="84"/>
      <c r="C79" s="72" t="str">
        <f aca="false">IF($B79="","",COUNTIFS(거래장부_스윙트레이딩!$C$6:$C$505,$B79,거래장부_스윙트레이딩!$L$6:$L$505,"청산"))</f>
        <v/>
      </c>
      <c r="D79" s="73" t="str">
        <f aca="false">IF($B79="","",SUMIFS(거래장부_스윙트레이딩!$P$6:$P$505,거래장부_스윙트레이딩!$C$6:$C$505,$B79))</f>
        <v/>
      </c>
      <c r="E79" s="74" t="str">
        <f aca="false">IFERROR(COUNTIFS(거래장부_스윙트레이딩!$C$6:$C$505,$B79,거래장부_스윙트레이딩!$P$6:$P$505,"&gt;0")/$C79,"")</f>
        <v/>
      </c>
      <c r="F79" s="76" t="str">
        <f aca="false">IFERROR(AVERAGEIFS(거래장부_스윙트레이딩!$Q$6:$Q$505,거래장부_스윙트레이딩!$C$6:$C$505,$B79),"")</f>
        <v/>
      </c>
      <c r="G79" s="85" t="str">
        <f aca="false">IFERROR(AVERAGEIFS(거래장부_스윙트레이딩!$R$6:$R$505,거래장부_스윙트레이딩!$C$6:$C$505,$B79,거래장부_스윙트레이딩!$L$6:$L$505,"청산"),"")</f>
        <v/>
      </c>
      <c r="H79" s="75" t="str">
        <f aca="false">IF($B79="","",SUMIFS(거래장부_스윙트레이딩!$M$6:$M$505,거래장부_스윙트레이딩!$C$6:$C$505,$B79,거래장부_스윙트레이딩!$L$6:$L$505,"청산"))</f>
        <v/>
      </c>
    </row>
    <row r="80" customFormat="false" ht="15" hidden="false" customHeight="false" outlineLevel="0" collapsed="false">
      <c r="B80" s="84"/>
      <c r="C80" s="72" t="str">
        <f aca="false">IF($B80="","",COUNTIFS(거래장부_스윙트레이딩!$C$6:$C$505,$B80,거래장부_스윙트레이딩!$L$6:$L$505,"청산"))</f>
        <v/>
      </c>
      <c r="D80" s="73" t="str">
        <f aca="false">IF($B80="","",SUMIFS(거래장부_스윙트레이딩!$P$6:$P$505,거래장부_스윙트레이딩!$C$6:$C$505,$B80))</f>
        <v/>
      </c>
      <c r="E80" s="74" t="str">
        <f aca="false">IFERROR(COUNTIFS(거래장부_스윙트레이딩!$C$6:$C$505,$B80,거래장부_스윙트레이딩!$P$6:$P$505,"&gt;0")/$C80,"")</f>
        <v/>
      </c>
      <c r="F80" s="76" t="str">
        <f aca="false">IFERROR(AVERAGEIFS(거래장부_스윙트레이딩!$Q$6:$Q$505,거래장부_스윙트레이딩!$C$6:$C$505,$B80),"")</f>
        <v/>
      </c>
      <c r="G80" s="85" t="str">
        <f aca="false">IFERROR(AVERAGEIFS(거래장부_스윙트레이딩!$R$6:$R$505,거래장부_스윙트레이딩!$C$6:$C$505,$B80,거래장부_스윙트레이딩!$L$6:$L$505,"청산"),"")</f>
        <v/>
      </c>
      <c r="H80" s="75" t="str">
        <f aca="false">IF($B80="","",SUMIFS(거래장부_스윙트레이딩!$M$6:$M$505,거래장부_스윙트레이딩!$C$6:$C$505,$B80,거래장부_스윙트레이딩!$L$6:$L$505,"청산"))</f>
        <v/>
      </c>
    </row>
    <row r="82" customFormat="false" ht="15" hidden="false" customHeight="false" outlineLevel="0" collapsed="false">
      <c r="B82" s="18" t="s">
        <v>180</v>
      </c>
      <c r="C82" s="19"/>
      <c r="D82" s="19"/>
      <c r="E82" s="19"/>
      <c r="F82" s="19"/>
      <c r="G82" s="19"/>
      <c r="H82" s="19"/>
    </row>
    <row r="83" customFormat="false" ht="30" hidden="false" customHeight="true" outlineLevel="0" collapsed="false">
      <c r="B83" s="7" t="s">
        <v>111</v>
      </c>
      <c r="C83" s="7" t="s">
        <v>167</v>
      </c>
      <c r="D83" s="7" t="s">
        <v>168</v>
      </c>
      <c r="E83" s="7" t="s">
        <v>37</v>
      </c>
      <c r="F83" s="7" t="s">
        <v>172</v>
      </c>
      <c r="G83" s="7" t="s">
        <v>151</v>
      </c>
      <c r="H83" s="7" t="s">
        <v>179</v>
      </c>
    </row>
    <row r="84" customFormat="false" ht="15" hidden="false" customHeight="false" outlineLevel="0" collapsed="false">
      <c r="B84" s="86" t="s">
        <v>117</v>
      </c>
      <c r="C84" s="72" t="n">
        <f aca="false">COUNTIFS(거래장부_스윙트레이딩!$T$6:$T$505,$B84,거래장부_스윙트레이딩!$L$6:$L$505,"청산")</f>
        <v>1</v>
      </c>
      <c r="D84" s="73" t="n">
        <f aca="false">SUMIFS(거래장부_스윙트레이딩!$P$6:$P$505,거래장부_스윙트레이딩!$T$6:$T$505,$B84)</f>
        <v>190336</v>
      </c>
      <c r="E84" s="74" t="n">
        <f aca="false">IFERROR(COUNTIFS(거래장부_스윙트레이딩!$T$6:$T$505,$B84,거래장부_스윙트레이딩!$P$6:$P$505,"&gt;0")/$C84,"")</f>
        <v>1</v>
      </c>
      <c r="F84" s="76" t="n">
        <f aca="false">IFERROR(AVERAGEIFS(거래장부_스윙트레이딩!$Q$6:$Q$505,거래장부_스윙트레이딩!$T$6:$T$505,$B84),"")</f>
        <v>0.0933019607843137</v>
      </c>
      <c r="G84" s="85" t="n">
        <f aca="false">IFERROR(AVERAGEIFS(거래장부_스윙트레이딩!$R$6:$R$505,거래장부_스윙트레이딩!$T$6:$T$505,$B84,거래장부_스윙트레이딩!$L$6:$L$505,"청산"),"")</f>
        <v>25</v>
      </c>
      <c r="H84" s="75" t="n">
        <f aca="false">SUMIFS(거래장부_스윙트레이딩!$M$6:$M$505,거래장부_스윙트레이딩!$T$6:$T$505,$B84,거래장부_스윙트레이딩!$L$6:$L$505,"청산")</f>
        <v>2040000</v>
      </c>
    </row>
    <row r="85" customFormat="false" ht="15" hidden="false" customHeight="false" outlineLevel="0" collapsed="false">
      <c r="B85" s="86" t="s">
        <v>121</v>
      </c>
      <c r="C85" s="72" t="n">
        <f aca="false">COUNTIFS(거래장부_스윙트레이딩!$T$6:$T$505,$B85,거래장부_스윙트레이딩!$L$6:$L$505,"청산")</f>
        <v>1</v>
      </c>
      <c r="D85" s="73" t="n">
        <f aca="false">SUMIFS(거래장부_스윙트레이딩!$P$6:$P$505,거래장부_스윙트레이딩!$T$6:$T$505,$B85)</f>
        <v>-99425</v>
      </c>
      <c r="E85" s="74" t="n">
        <f aca="false">IFERROR(COUNTIFS(거래장부_스윙트레이딩!$T$6:$T$505,$B85,거래장부_스윙트레이딩!$P$6:$P$505,"&gt;0")/$C85,"")</f>
        <v>0</v>
      </c>
      <c r="F85" s="76" t="n">
        <f aca="false">IFERROR(AVERAGEIFS(거래장부_스윙트레이딩!$Q$6:$Q$505,거래장부_스윙트레이딩!$T$6:$T$505,$B85),"")</f>
        <v>-0.0578052325581395</v>
      </c>
      <c r="G85" s="85" t="n">
        <f aca="false">IFERROR(AVERAGEIFS(거래장부_스윙트레이딩!$R$6:$R$505,거래장부_스윙트레이딩!$T$6:$T$505,$B85,거래장부_스윙트레이딩!$L$6:$L$505,"청산"),"")</f>
        <v>7</v>
      </c>
      <c r="H85" s="75" t="n">
        <f aca="false">SUMIFS(거래장부_스윙트레이딩!$M$6:$M$505,거래장부_스윙트레이딩!$T$6:$T$505,$B85,거래장부_스윙트레이딩!$L$6:$L$505,"청산")</f>
        <v>1720000</v>
      </c>
    </row>
    <row r="86" customFormat="false" ht="15" hidden="false" customHeight="false" outlineLevel="0" collapsed="false">
      <c r="B86" s="86" t="s">
        <v>125</v>
      </c>
      <c r="C86" s="72" t="n">
        <f aca="false">COUNTIFS(거래장부_스윙트레이딩!$T$6:$T$505,$B86,거래장부_스윙트레이딩!$L$6:$L$505,"청산")</f>
        <v>0</v>
      </c>
      <c r="D86" s="73" t="n">
        <f aca="false">SUMIFS(거래장부_스윙트레이딩!$P$6:$P$505,거래장부_스윙트레이딩!$T$6:$T$505,$B86)</f>
        <v>0</v>
      </c>
      <c r="E86" s="74" t="str">
        <f aca="false">IFERROR(COUNTIFS(거래장부_스윙트레이딩!$T$6:$T$505,$B86,거래장부_스윙트레이딩!$P$6:$P$505,"&gt;0")/$C86,"")</f>
        <v/>
      </c>
      <c r="F86" s="76" t="str">
        <f aca="false">IFERROR(AVERAGEIFS(거래장부_스윙트레이딩!$Q$6:$Q$505,거래장부_스윙트레이딩!$T$6:$T$505,$B86),"")</f>
        <v/>
      </c>
      <c r="G86" s="85" t="str">
        <f aca="false">IFERROR(AVERAGEIFS(거래장부_스윙트레이딩!$R$6:$R$505,거래장부_스윙트레이딩!$T$6:$T$505,$B86,거래장부_스윙트레이딩!$L$6:$L$505,"청산"),"")</f>
        <v/>
      </c>
      <c r="H86" s="75" t="n">
        <f aca="false">SUMIFS(거래장부_스윙트레이딩!$M$6:$M$505,거래장부_스윙트레이딩!$T$6:$T$505,$B86,거래장부_스윙트레이딩!$L$6:$L$505,"청산")</f>
        <v>0</v>
      </c>
    </row>
    <row r="87" customFormat="false" ht="15" hidden="false" customHeight="false" outlineLevel="0" collapsed="false">
      <c r="B87" s="86" t="s">
        <v>181</v>
      </c>
      <c r="C87" s="72" t="n">
        <f aca="false">COUNTIFS(거래장부_스윙트레이딩!$T$6:$T$505,$B87,거래장부_스윙트레이딩!$L$6:$L$505,"청산")</f>
        <v>0</v>
      </c>
      <c r="D87" s="73" t="n">
        <f aca="false">SUMIFS(거래장부_스윙트레이딩!$P$6:$P$505,거래장부_스윙트레이딩!$T$6:$T$505,$B87)</f>
        <v>0</v>
      </c>
      <c r="E87" s="74" t="str">
        <f aca="false">IFERROR(COUNTIFS(거래장부_스윙트레이딩!$T$6:$T$505,$B87,거래장부_스윙트레이딩!$P$6:$P$505,"&gt;0")/$C87,"")</f>
        <v/>
      </c>
      <c r="F87" s="76" t="str">
        <f aca="false">IFERROR(AVERAGEIFS(거래장부_스윙트레이딩!$Q$6:$Q$505,거래장부_스윙트레이딩!$T$6:$T$505,$B87),"")</f>
        <v/>
      </c>
      <c r="G87" s="85" t="str">
        <f aca="false">IFERROR(AVERAGEIFS(거래장부_스윙트레이딩!$R$6:$R$505,거래장부_스윙트레이딩!$T$6:$T$505,$B87,거래장부_스윙트레이딩!$L$6:$L$505,"청산"),"")</f>
        <v/>
      </c>
      <c r="H87" s="75" t="n">
        <f aca="false">SUMIFS(거래장부_스윙트레이딩!$M$6:$M$505,거래장부_스윙트레이딩!$T$6:$T$505,$B87,거래장부_스윙트레이딩!$L$6:$L$505,"청산")</f>
        <v>0</v>
      </c>
    </row>
    <row r="88" customFormat="false" ht="15" hidden="false" customHeight="false" outlineLevel="0" collapsed="false">
      <c r="B88" s="86" t="s">
        <v>182</v>
      </c>
      <c r="C88" s="72" t="n">
        <f aca="false">COUNTIFS(거래장부_스윙트레이딩!$T$6:$T$505,$B88,거래장부_스윙트레이딩!$L$6:$L$505,"청산")</f>
        <v>0</v>
      </c>
      <c r="D88" s="73" t="n">
        <f aca="false">SUMIFS(거래장부_스윙트레이딩!$P$6:$P$505,거래장부_스윙트레이딩!$T$6:$T$505,$B88)</f>
        <v>0</v>
      </c>
      <c r="E88" s="74" t="str">
        <f aca="false">IFERROR(COUNTIFS(거래장부_스윙트레이딩!$T$6:$T$505,$B88,거래장부_스윙트레이딩!$P$6:$P$505,"&gt;0")/$C88,"")</f>
        <v/>
      </c>
      <c r="F88" s="76" t="str">
        <f aca="false">IFERROR(AVERAGEIFS(거래장부_스윙트레이딩!$Q$6:$Q$505,거래장부_스윙트레이딩!$T$6:$T$505,$B88),"")</f>
        <v/>
      </c>
      <c r="G88" s="85" t="str">
        <f aca="false">IFERROR(AVERAGEIFS(거래장부_스윙트레이딩!$R$6:$R$505,거래장부_스윙트레이딩!$T$6:$T$505,$B88,거래장부_스윙트레이딩!$L$6:$L$505,"청산"),"")</f>
        <v/>
      </c>
      <c r="H88" s="75" t="n">
        <f aca="false">SUMIFS(거래장부_스윙트레이딩!$M$6:$M$505,거래장부_스윙트레이딩!$T$6:$T$505,$B88,거래장부_스윙트레이딩!$L$6:$L$505,"청산")</f>
        <v>0</v>
      </c>
    </row>
    <row r="89" customFormat="false" ht="15" hidden="false" customHeight="false" outlineLevel="0" collapsed="false">
      <c r="B89" s="86" t="s">
        <v>183</v>
      </c>
      <c r="C89" s="72" t="n">
        <f aca="false">COUNTIFS(거래장부_스윙트레이딩!$T$6:$T$505,$B89,거래장부_스윙트레이딩!$L$6:$L$505,"청산")</f>
        <v>0</v>
      </c>
      <c r="D89" s="73" t="n">
        <f aca="false">SUMIFS(거래장부_스윙트레이딩!$P$6:$P$505,거래장부_스윙트레이딩!$T$6:$T$505,$B89)</f>
        <v>0</v>
      </c>
      <c r="E89" s="74" t="str">
        <f aca="false">IFERROR(COUNTIFS(거래장부_스윙트레이딩!$T$6:$T$505,$B89,거래장부_스윙트레이딩!$P$6:$P$505,"&gt;0")/$C89,"")</f>
        <v/>
      </c>
      <c r="F89" s="76" t="str">
        <f aca="false">IFERROR(AVERAGEIFS(거래장부_스윙트레이딩!$Q$6:$Q$505,거래장부_스윙트레이딩!$T$6:$T$505,$B89),"")</f>
        <v/>
      </c>
      <c r="G89" s="85" t="str">
        <f aca="false">IFERROR(AVERAGEIFS(거래장부_스윙트레이딩!$R$6:$R$505,거래장부_스윙트레이딩!$T$6:$T$505,$B89,거래장부_스윙트레이딩!$L$6:$L$505,"청산"),"")</f>
        <v/>
      </c>
      <c r="H89" s="75" t="n">
        <f aca="false">SUMIFS(거래장부_스윙트레이딩!$M$6:$M$505,거래장부_스윙트레이딩!$T$6:$T$505,$B89,거래장부_스윙트레이딩!$L$6:$L$505,"청산")</f>
        <v>0</v>
      </c>
    </row>
    <row r="90" customFormat="false" ht="15" hidden="false" customHeight="false" outlineLevel="0" collapsed="false">
      <c r="B90" s="86" t="s">
        <v>184</v>
      </c>
      <c r="C90" s="72" t="n">
        <f aca="false">COUNTIFS(거래장부_스윙트레이딩!$T$6:$T$505,$B90,거래장부_스윙트레이딩!$L$6:$L$505,"청산")</f>
        <v>0</v>
      </c>
      <c r="D90" s="73" t="n">
        <f aca="false">SUMIFS(거래장부_스윙트레이딩!$P$6:$P$505,거래장부_스윙트레이딩!$T$6:$T$505,$B90)</f>
        <v>0</v>
      </c>
      <c r="E90" s="74" t="str">
        <f aca="false">IFERROR(COUNTIFS(거래장부_스윙트레이딩!$T$6:$T$505,$B90,거래장부_스윙트레이딩!$P$6:$P$505,"&gt;0")/$C90,"")</f>
        <v/>
      </c>
      <c r="F90" s="76" t="str">
        <f aca="false">IFERROR(AVERAGEIFS(거래장부_스윙트레이딩!$Q$6:$Q$505,거래장부_스윙트레이딩!$T$6:$T$505,$B90),"")</f>
        <v/>
      </c>
      <c r="G90" s="85" t="str">
        <f aca="false">IFERROR(AVERAGEIFS(거래장부_스윙트레이딩!$R$6:$R$505,거래장부_스윙트레이딩!$T$6:$T$505,$B90,거래장부_스윙트레이딩!$L$6:$L$505,"청산"),"")</f>
        <v/>
      </c>
      <c r="H90" s="75" t="n">
        <f aca="false">SUMIFS(거래장부_스윙트레이딩!$M$6:$M$505,거래장부_스윙트레이딩!$T$6:$T$505,$B90,거래장부_스윙트레이딩!$L$6:$L$505,"청산")</f>
        <v>0</v>
      </c>
    </row>
    <row r="91" customFormat="false" ht="15" hidden="false" customHeight="false" outlineLevel="0" collapsed="false">
      <c r="B91" s="86" t="s">
        <v>185</v>
      </c>
      <c r="C91" s="72" t="n">
        <f aca="false">COUNTIFS(거래장부_스윙트레이딩!$T$6:$T$505,$B91,거래장부_스윙트레이딩!$L$6:$L$505,"청산")</f>
        <v>0</v>
      </c>
      <c r="D91" s="73" t="n">
        <f aca="false">SUMIFS(거래장부_스윙트레이딩!$P$6:$P$505,거래장부_스윙트레이딩!$T$6:$T$505,$B91)</f>
        <v>0</v>
      </c>
      <c r="E91" s="74" t="str">
        <f aca="false">IFERROR(COUNTIFS(거래장부_스윙트레이딩!$T$6:$T$505,$B91,거래장부_스윙트레이딩!$P$6:$P$505,"&gt;0")/$C91,"")</f>
        <v/>
      </c>
      <c r="F91" s="76" t="str">
        <f aca="false">IFERROR(AVERAGEIFS(거래장부_스윙트레이딩!$Q$6:$Q$505,거래장부_스윙트레이딩!$T$6:$T$505,$B91),"")</f>
        <v/>
      </c>
      <c r="G91" s="85" t="str">
        <f aca="false">IFERROR(AVERAGEIFS(거래장부_스윙트레이딩!$R$6:$R$505,거래장부_스윙트레이딩!$T$6:$T$505,$B91,거래장부_스윙트레이딩!$L$6:$L$505,"청산"),"")</f>
        <v/>
      </c>
      <c r="H91" s="75" t="n">
        <f aca="false">SUMIFS(거래장부_스윙트레이딩!$M$6:$M$505,거래장부_스윙트레이딩!$T$6:$T$505,$B91,거래장부_스윙트레이딩!$L$6:$L$505,"청산")</f>
        <v>0</v>
      </c>
    </row>
    <row r="92" customFormat="false" ht="15" hidden="false" customHeight="false" outlineLevel="0" collapsed="false">
      <c r="B92" s="86" t="s">
        <v>186</v>
      </c>
      <c r="C92" s="72" t="n">
        <f aca="false">COUNTIFS(거래장부_스윙트레이딩!$T$6:$T$505,$B92,거래장부_스윙트레이딩!$L$6:$L$505,"청산")</f>
        <v>0</v>
      </c>
      <c r="D92" s="73" t="n">
        <f aca="false">SUMIFS(거래장부_스윙트레이딩!$P$6:$P$505,거래장부_스윙트레이딩!$T$6:$T$505,$B92)</f>
        <v>0</v>
      </c>
      <c r="E92" s="74" t="str">
        <f aca="false">IFERROR(COUNTIFS(거래장부_스윙트레이딩!$T$6:$T$505,$B92,거래장부_스윙트레이딩!$P$6:$P$505,"&gt;0")/$C92,"")</f>
        <v/>
      </c>
      <c r="F92" s="76" t="str">
        <f aca="false">IFERROR(AVERAGEIFS(거래장부_스윙트레이딩!$Q$6:$Q$505,거래장부_스윙트레이딩!$T$6:$T$505,$B92),"")</f>
        <v/>
      </c>
      <c r="G92" s="85" t="str">
        <f aca="false">IFERROR(AVERAGEIFS(거래장부_스윙트레이딩!$R$6:$R$505,거래장부_스윙트레이딩!$T$6:$T$505,$B92,거래장부_스윙트레이딩!$L$6:$L$505,"청산"),"")</f>
        <v/>
      </c>
      <c r="H92" s="75" t="n">
        <f aca="false">SUMIFS(거래장부_스윙트레이딩!$M$6:$M$505,거래장부_스윙트레이딩!$T$6:$T$505,$B92,거래장부_스윙트레이딩!$L$6:$L$505,"청산")</f>
        <v>0</v>
      </c>
    </row>
    <row r="94" customFormat="false" ht="15" hidden="false" customHeight="false" outlineLevel="0" collapsed="false">
      <c r="B94" s="87" t="s">
        <v>187</v>
      </c>
    </row>
  </sheetData>
  <mergeCells count="1">
    <mergeCell ref="B2:R2"/>
  </mergeCells>
  <conditionalFormatting sqref="D21:D44">
    <cfRule type="cellIs" priority="2" operator="greaterThan" aboveAverage="0" equalAverage="0" bottom="0" percent="0" rank="0" text="" dxfId="18">
      <formula>0</formula>
    </cfRule>
    <cfRule type="cellIs" priority="3" operator="lessThan" aboveAverage="0" equalAverage="0" bottom="0" percent="0" rank="0" text="" dxfId="19">
      <formula>0</formula>
    </cfRule>
  </conditionalFormatting>
  <conditionalFormatting sqref="E21:E44">
    <cfRule type="cellIs" priority="4" operator="greaterThan" aboveAverage="0" equalAverage="0" bottom="0" percent="0" rank="0" text="" dxfId="18">
      <formula>0</formula>
    </cfRule>
    <cfRule type="cellIs" priority="5" operator="lessThan" aboveAverage="0" equalAverage="0" bottom="0" percent="0" rank="0" text="" dxfId="19">
      <formula>0</formula>
    </cfRule>
  </conditionalFormatting>
  <conditionalFormatting sqref="F49:G53">
    <cfRule type="cellIs" priority="6" operator="greaterThan" aboveAverage="0" equalAverage="0" bottom="0" percent="0" rank="0" text="" dxfId="18">
      <formula>0</formula>
    </cfRule>
    <cfRule type="cellIs" priority="7" operator="lessThan" aboveAverage="0" equalAverage="0" bottom="0" percent="0" rank="0" text="" dxfId="19">
      <formula>0</formula>
    </cfRule>
  </conditionalFormatting>
  <conditionalFormatting sqref="F57:G61">
    <cfRule type="cellIs" priority="8" operator="greaterThan" aboveAverage="0" equalAverage="0" bottom="0" percent="0" rank="0" text="" dxfId="18">
      <formula>0</formula>
    </cfRule>
    <cfRule type="cellIs" priority="9" operator="lessThan" aboveAverage="0" equalAverage="0" bottom="0" percent="0" rank="0" text="" dxfId="19">
      <formula>0</formula>
    </cfRule>
  </conditionalFormatting>
  <conditionalFormatting sqref="D66:D80">
    <cfRule type="cellIs" priority="10" operator="greaterThan" aboveAverage="0" equalAverage="0" bottom="0" percent="0" rank="0" text="" dxfId="18">
      <formula>0</formula>
    </cfRule>
    <cfRule type="cellIs" priority="11" operator="lessThan" aboveAverage="0" equalAverage="0" bottom="0" percent="0" rank="0" text="" dxfId="19">
      <formula>0</formula>
    </cfRule>
  </conditionalFormatting>
  <conditionalFormatting sqref="D84:D92">
    <cfRule type="cellIs" priority="12" operator="greaterThan" aboveAverage="0" equalAverage="0" bottom="0" percent="0" rank="0" text="" dxfId="18">
      <formula>0</formula>
    </cfRule>
    <cfRule type="cellIs" priority="13" operator="lessThan" aboveAverage="0" equalAverage="0" bottom="0" percent="0" rank="0" text="" dxfId="1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7" min="5" style="0" width="11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0"/>
    <col collapsed="false" customWidth="true" hidden="false" outlineLevel="0" max="15" min="15" style="0" width="13"/>
  </cols>
  <sheetData>
    <row r="1" customFormat="false" ht="25.5" hidden="false" customHeight="true" outlineLevel="0" collapsed="false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3.4" hidden="false" customHeight="false" outlineLevel="0" collapsed="false">
      <c r="A2" s="88" t="s">
        <v>189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3" customFormat="false" ht="27.75" hidden="false" customHeight="true" outlineLevel="0" collapsed="false">
      <c r="A3" s="89" t="s">
        <v>190</v>
      </c>
      <c r="B3" s="89" t="s">
        <v>191</v>
      </c>
      <c r="C3" s="89" t="s">
        <v>192</v>
      </c>
      <c r="D3" s="89" t="s">
        <v>96</v>
      </c>
      <c r="E3" s="89" t="s">
        <v>100</v>
      </c>
      <c r="F3" s="89" t="s">
        <v>193</v>
      </c>
      <c r="G3" s="89" t="s">
        <v>194</v>
      </c>
      <c r="H3" s="89" t="s">
        <v>195</v>
      </c>
      <c r="I3" s="89" t="s">
        <v>196</v>
      </c>
      <c r="J3" s="89" t="s">
        <v>197</v>
      </c>
      <c r="K3" s="89" t="s">
        <v>198</v>
      </c>
      <c r="L3" s="89" t="s">
        <v>199</v>
      </c>
      <c r="M3" s="89" t="s">
        <v>200</v>
      </c>
      <c r="N3" s="89" t="s">
        <v>201</v>
      </c>
      <c r="O3" s="89" t="s">
        <v>202</v>
      </c>
    </row>
    <row r="4" customFormat="false" ht="27.75" hidden="false" customHeight="true" outlineLevel="0" collapsed="false">
      <c r="A4" s="90" t="s">
        <v>203</v>
      </c>
      <c r="B4" s="90" t="s">
        <v>204</v>
      </c>
      <c r="C4" s="90" t="s">
        <v>205</v>
      </c>
      <c r="D4" s="90" t="s">
        <v>97</v>
      </c>
      <c r="E4" s="90" t="s">
        <v>206</v>
      </c>
      <c r="F4" s="90" t="s">
        <v>105</v>
      </c>
      <c r="G4" s="90" t="s">
        <v>207</v>
      </c>
      <c r="H4" s="90" t="s">
        <v>208</v>
      </c>
      <c r="I4" s="90" t="s">
        <v>209</v>
      </c>
      <c r="J4" s="90" t="s">
        <v>210</v>
      </c>
      <c r="K4" s="90" t="s">
        <v>211</v>
      </c>
      <c r="L4" s="90" t="s">
        <v>212</v>
      </c>
      <c r="M4" s="90" t="s">
        <v>213</v>
      </c>
      <c r="N4" s="90" t="s">
        <v>214</v>
      </c>
      <c r="O4" s="90" t="s">
        <v>215</v>
      </c>
    </row>
    <row r="5" customFormat="false" ht="15" hidden="false" customHeight="false" outlineLevel="0" collapsed="false">
      <c r="A5" s="91" t="s">
        <v>216</v>
      </c>
      <c r="B5" s="92" t="n">
        <v>1</v>
      </c>
      <c r="C5" s="93" t="s">
        <v>217</v>
      </c>
      <c r="D5" s="91"/>
      <c r="E5" s="91"/>
      <c r="F5" s="92" t="n">
        <v>0</v>
      </c>
      <c r="G5" s="92" t="n">
        <v>0</v>
      </c>
      <c r="H5" s="92" t="n">
        <v>2000000</v>
      </c>
      <c r="I5" s="92" t="n">
        <v>0</v>
      </c>
      <c r="J5" s="91"/>
      <c r="K5" s="92" t="n">
        <v>2000000</v>
      </c>
      <c r="L5" s="92" t="n">
        <v>0</v>
      </c>
      <c r="M5" s="91"/>
      <c r="N5" s="92" t="n">
        <v>0</v>
      </c>
      <c r="O5" s="91"/>
    </row>
    <row r="6" customFormat="false" ht="15" hidden="false" customHeight="false" outlineLevel="0" collapsed="false">
      <c r="A6" s="93" t="s">
        <v>218</v>
      </c>
      <c r="B6" s="92" t="n">
        <v>0</v>
      </c>
      <c r="C6" s="93" t="s">
        <v>219</v>
      </c>
      <c r="D6" s="91"/>
      <c r="E6" s="91"/>
      <c r="F6" s="92" t="n">
        <v>0</v>
      </c>
      <c r="G6" s="92" t="n">
        <v>0</v>
      </c>
      <c r="H6" s="92" t="n">
        <v>2000000</v>
      </c>
      <c r="I6" s="92" t="n">
        <v>0</v>
      </c>
      <c r="J6" s="91"/>
      <c r="K6" s="92" t="n">
        <v>0</v>
      </c>
      <c r="L6" s="92" t="n">
        <v>0</v>
      </c>
      <c r="M6" s="91"/>
      <c r="N6" s="92" t="n">
        <v>0</v>
      </c>
      <c r="O6" s="92" t="n">
        <v>0</v>
      </c>
    </row>
    <row r="7" customFormat="false" ht="15" hidden="false" customHeight="false" outlineLevel="0" collapsed="false">
      <c r="A7" s="91" t="s">
        <v>220</v>
      </c>
      <c r="B7" s="92" t="n">
        <v>8</v>
      </c>
      <c r="C7" s="93" t="s">
        <v>217</v>
      </c>
      <c r="D7" s="91"/>
      <c r="E7" s="91"/>
      <c r="F7" s="92" t="n">
        <v>0</v>
      </c>
      <c r="G7" s="92" t="n">
        <v>0</v>
      </c>
      <c r="H7" s="92" t="n">
        <v>2000000</v>
      </c>
      <c r="I7" s="92" t="n">
        <v>0</v>
      </c>
      <c r="J7" s="91"/>
      <c r="K7" s="92" t="n">
        <v>4000297</v>
      </c>
      <c r="L7" s="92" t="n">
        <v>0</v>
      </c>
      <c r="M7" s="91"/>
      <c r="N7" s="92" t="n">
        <v>0</v>
      </c>
      <c r="O7" s="91"/>
    </row>
    <row r="8" customFormat="false" ht="15" hidden="false" customHeight="false" outlineLevel="0" collapsed="false">
      <c r="A8" s="93" t="s">
        <v>218</v>
      </c>
      <c r="B8" s="92" t="n">
        <v>0</v>
      </c>
      <c r="C8" s="93" t="s">
        <v>219</v>
      </c>
      <c r="D8" s="91"/>
      <c r="E8" s="91"/>
      <c r="F8" s="92" t="n">
        <v>0</v>
      </c>
      <c r="G8" s="92" t="n">
        <v>0</v>
      </c>
      <c r="H8" s="92" t="n">
        <v>2000000</v>
      </c>
      <c r="I8" s="92" t="n">
        <v>0</v>
      </c>
      <c r="J8" s="91"/>
      <c r="K8" s="92" t="n">
        <v>0</v>
      </c>
      <c r="L8" s="92" t="n">
        <v>0</v>
      </c>
      <c r="M8" s="91"/>
      <c r="N8" s="92" t="n">
        <v>0</v>
      </c>
      <c r="O8" s="92" t="n">
        <v>0</v>
      </c>
    </row>
    <row r="9" customFormat="false" ht="15" hidden="false" customHeight="false" outlineLevel="0" collapsed="false">
      <c r="A9" s="91" t="s">
        <v>221</v>
      </c>
      <c r="B9" s="92" t="n">
        <v>10</v>
      </c>
      <c r="C9" s="93" t="s">
        <v>217</v>
      </c>
      <c r="D9" s="91"/>
      <c r="E9" s="91"/>
      <c r="F9" s="92" t="n">
        <v>0</v>
      </c>
      <c r="G9" s="92" t="n">
        <v>0</v>
      </c>
      <c r="H9" s="92" t="n">
        <v>1000000</v>
      </c>
      <c r="I9" s="92" t="n">
        <v>0</v>
      </c>
      <c r="J9" s="91"/>
      <c r="K9" s="92" t="n">
        <v>1000000</v>
      </c>
      <c r="L9" s="92" t="n">
        <v>0</v>
      </c>
      <c r="M9" s="91"/>
      <c r="N9" s="92" t="n">
        <v>0</v>
      </c>
      <c r="O9" s="91"/>
    </row>
    <row r="10" customFormat="false" ht="15" hidden="false" customHeight="false" outlineLevel="0" collapsed="false">
      <c r="A10" s="93" t="s">
        <v>218</v>
      </c>
      <c r="B10" s="92" t="n">
        <v>0</v>
      </c>
      <c r="C10" s="93" t="s">
        <v>219</v>
      </c>
      <c r="D10" s="91"/>
      <c r="E10" s="91"/>
      <c r="F10" s="92" t="n">
        <v>0</v>
      </c>
      <c r="G10" s="92" t="n">
        <v>0</v>
      </c>
      <c r="H10" s="92" t="n">
        <v>1000000</v>
      </c>
      <c r="I10" s="92" t="n">
        <v>0</v>
      </c>
      <c r="J10" s="91"/>
      <c r="K10" s="92" t="n">
        <v>0</v>
      </c>
      <c r="L10" s="92" t="n">
        <v>0</v>
      </c>
      <c r="M10" s="91"/>
      <c r="N10" s="92" t="n">
        <v>0</v>
      </c>
      <c r="O10" s="92" t="n">
        <v>0</v>
      </c>
    </row>
    <row r="11" customFormat="false" ht="15" hidden="false" customHeight="false" outlineLevel="0" collapsed="false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</row>
    <row r="12" customFormat="false" ht="15" hidden="false" customHeight="false" outlineLevel="0" collapsed="false">
      <c r="A12" s="95"/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</row>
    <row r="13" customFormat="false" ht="15" hidden="false" customHeight="false" outlineLevel="0" collapsed="false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customFormat="false" ht="15" hidden="false" customHeight="false" outlineLevel="0" collapsed="false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</row>
    <row r="15" customFormat="false" ht="15" hidden="false" customHeight="false" outlineLevel="0" collapsed="false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</row>
    <row r="16" customFormat="false" ht="15" hidden="false" customHeight="false" outlineLevel="0" collapsed="false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</row>
    <row r="17" customFormat="false" ht="15" hidden="false" customHeight="false" outlineLevel="0" collapsed="false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</row>
    <row r="18" customFormat="false" ht="15" hidden="false" customHeight="false" outlineLevel="0" collapsed="false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</row>
    <row r="19" customFormat="false" ht="15" hidden="false" customHeight="false" outlineLevel="0" collapsed="false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</row>
    <row r="20" customFormat="false" ht="15" hidden="false" customHeight="false" outlineLevel="0" collapsed="false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</row>
    <row r="21" customFormat="false" ht="15" hidden="false" customHeight="false" outlineLevel="0" collapsed="false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</row>
    <row r="22" customFormat="false" ht="15" hidden="false" customHeight="false" outlineLevel="0" collapsed="false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</row>
    <row r="23" customFormat="false" ht="15" hidden="false" customHeight="false" outlineLevel="0" collapsed="false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</row>
    <row r="24" customFormat="false" ht="15" hidden="false" customHeight="false" outlineLevel="0" collapsed="false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</row>
    <row r="25" customFormat="false" ht="15" hidden="false" customHeight="false" outlineLevel="0" collapsed="false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</row>
    <row r="26" customFormat="false" ht="15" hidden="false" customHeight="false" outlineLevel="0" collapsed="false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</row>
    <row r="27" customFormat="false" ht="15" hidden="false" customHeight="false" outlineLevel="0" collapsed="false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</row>
    <row r="28" customFormat="false" ht="15" hidden="false" customHeight="false" outlineLevel="0" collapsed="false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</row>
    <row r="29" customFormat="false" ht="15" hidden="false" customHeight="false" outlineLevel="0" collapsed="false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</row>
    <row r="30" customFormat="false" ht="15" hidden="false" customHeight="false" outlineLevel="0" collapsed="false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</row>
    <row r="31" customFormat="false" ht="15" hidden="false" customHeight="false" outlineLevel="0" collapsed="false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</row>
    <row r="32" customFormat="false" ht="15" hidden="false" customHeight="false" outlineLevel="0" collapsed="false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</row>
    <row r="33" customFormat="false" ht="15" hidden="false" customHeight="false" outlineLevel="0" collapsed="false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</row>
    <row r="34" customFormat="false" ht="15" hidden="false" customHeight="false" outlineLevel="0" collapsed="false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</row>
    <row r="35" customFormat="false" ht="15" hidden="false" customHeight="false" outlineLevel="0" collapsed="false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</row>
    <row r="36" customFormat="false" ht="15" hidden="false" customHeight="false" outlineLevel="0" collapsed="false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</row>
    <row r="37" customFormat="false" ht="15" hidden="false" customHeight="false" outlineLevel="0" collapsed="false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</row>
    <row r="38" customFormat="false" ht="15" hidden="false" customHeight="false" outlineLevel="0" collapsed="false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</row>
    <row r="39" customFormat="false" ht="15" hidden="false" customHeight="false" outlineLevel="0" collapsed="false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customFormat="false" ht="15" hidden="false" customHeight="false" outlineLevel="0" collapsed="false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</row>
    <row r="41" customFormat="false" ht="15" hidden="false" customHeight="false" outlineLevel="0" collapsed="false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</row>
    <row r="42" customFormat="false" ht="15" hidden="false" customHeight="false" outlineLevel="0" collapsed="false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</row>
    <row r="43" customFormat="false" ht="15" hidden="false" customHeight="false" outlineLevel="0" collapsed="false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</row>
    <row r="44" customFormat="false" ht="15" hidden="false" customHeight="false" outlineLevel="0" collapsed="false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</row>
    <row r="45" customFormat="false" ht="15" hidden="false" customHeight="false" outlineLevel="0" collapsed="false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</row>
    <row r="46" customFormat="false" ht="15" hidden="false" customHeight="false" outlineLevel="0" collapsed="false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</row>
    <row r="47" customFormat="false" ht="15" hidden="false" customHeight="false" outlineLevel="0" collapsed="false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</row>
    <row r="48" customFormat="false" ht="15" hidden="false" customHeight="false" outlineLevel="0" collapsed="false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</row>
    <row r="49" customFormat="false" ht="15" hidden="false" customHeight="false" outlineLevel="0" collapsed="false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</row>
    <row r="50" customFormat="false" ht="15" hidden="false" customHeight="false" outlineLevel="0" collapsed="false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</row>
    <row r="51" customFormat="false" ht="15" hidden="false" customHeight="false" outlineLevel="0" collapsed="false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</row>
    <row r="52" customFormat="false" ht="15" hidden="false" customHeight="false" outlineLevel="0" collapsed="false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</row>
    <row r="53" customFormat="false" ht="15" hidden="false" customHeight="false" outlineLevel="0" collapsed="false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</row>
    <row r="54" customFormat="false" ht="15" hidden="false" customHeight="false" outlineLevel="0" collapsed="false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</row>
    <row r="55" customFormat="false" ht="15" hidden="false" customHeight="false" outlineLevel="0" collapsed="false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</row>
    <row r="56" customFormat="false" ht="15" hidden="false" customHeight="false" outlineLevel="0" collapsed="false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</row>
    <row r="57" customFormat="false" ht="15" hidden="false" customHeight="false" outlineLevel="0" collapsed="false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</row>
    <row r="58" customFormat="false" ht="15" hidden="false" customHeight="false" outlineLevel="0" collapsed="false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</row>
    <row r="59" customFormat="false" ht="15" hidden="false" customHeight="false" outlineLevel="0" collapsed="false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</row>
    <row r="60" customFormat="false" ht="15" hidden="false" customHeight="false" outlineLevel="0" collapsed="false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</row>
    <row r="61" customFormat="false" ht="15" hidden="false" customHeight="false" outlineLevel="0" collapsed="false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</row>
    <row r="62" customFormat="false" ht="15" hidden="false" customHeight="false" outlineLevel="0" collapsed="false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</row>
    <row r="63" customFormat="false" ht="15" hidden="false" customHeight="false" outlineLevel="0" collapsed="false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</row>
    <row r="64" customFormat="false" ht="15" hidden="false" customHeight="false" outlineLevel="0" collapsed="false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</row>
    <row r="65" customFormat="false" ht="15" hidden="false" customHeight="false" outlineLevel="0" collapsed="false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</row>
    <row r="66" customFormat="false" ht="15" hidden="false" customHeight="false" outlineLevel="0" collapsed="false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</row>
    <row r="67" customFormat="false" ht="15" hidden="false" customHeight="false" outlineLevel="0" collapsed="false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</row>
    <row r="68" customFormat="false" ht="15" hidden="false" customHeight="false" outlineLevel="0" collapsed="false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</row>
    <row r="69" customFormat="false" ht="15" hidden="false" customHeight="false" outlineLevel="0" collapsed="false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</row>
    <row r="70" customFormat="false" ht="15" hidden="false" customHeight="false" outlineLevel="0" collapsed="false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</row>
    <row r="71" customFormat="false" ht="15" hidden="false" customHeight="false" outlineLevel="0" collapsed="false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</row>
    <row r="72" customFormat="false" ht="15" hidden="false" customHeight="false" outlineLevel="0" collapsed="false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</row>
    <row r="73" customFormat="false" ht="15" hidden="false" customHeight="false" outlineLevel="0" collapsed="false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</row>
    <row r="74" customFormat="false" ht="15" hidden="false" customHeight="false" outlineLevel="0" collapsed="false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</row>
    <row r="75" customFormat="false" ht="15" hidden="false" customHeight="false" outlineLevel="0" collapsed="false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</row>
    <row r="76" customFormat="false" ht="15" hidden="false" customHeight="false" outlineLevel="0" collapsed="false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</row>
    <row r="77" customFormat="false" ht="15" hidden="false" customHeight="fals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</row>
    <row r="78" customFormat="false" ht="15" hidden="false" customHeight="false" outlineLevel="0" collapsed="false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</row>
    <row r="79" customFormat="false" ht="15" hidden="false" customHeight="false" outlineLevel="0" collapsed="false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</row>
    <row r="80" customFormat="false" ht="15" hidden="false" customHeight="false" outlineLevel="0" collapsed="false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</row>
    <row r="81" customFormat="false" ht="15" hidden="false" customHeight="false" outlineLevel="0" collapsed="false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</row>
    <row r="82" customFormat="false" ht="15" hidden="false" customHeight="false" outlineLevel="0" collapsed="false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</row>
    <row r="83" customFormat="false" ht="15" hidden="false" customHeight="false" outlineLevel="0" collapsed="false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</row>
    <row r="84" customFormat="false" ht="15" hidden="false" customHeight="false" outlineLevel="0" collapsed="false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</row>
    <row r="85" customFormat="false" ht="15" hidden="false" customHeight="false" outlineLevel="0" collapsed="false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</row>
    <row r="86" customFormat="false" ht="15" hidden="false" customHeight="false" outlineLevel="0" collapsed="false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</row>
    <row r="87" customFormat="false" ht="15" hidden="false" customHeight="false" outlineLevel="0" collapsed="false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</row>
    <row r="88" customFormat="false" ht="15" hidden="false" customHeight="false" outlineLevel="0" collapsed="false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</row>
    <row r="89" customFormat="false" ht="15" hidden="false" customHeight="false" outlineLevel="0" collapsed="false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</row>
    <row r="90" customFormat="false" ht="15" hidden="false" customHeight="false" outlineLevel="0" collapsed="false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</row>
    <row r="91" customFormat="false" ht="15" hidden="false" customHeight="false" outlineLevel="0" collapsed="false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</row>
    <row r="92" customFormat="false" ht="15" hidden="false" customHeight="false" outlineLevel="0" collapsed="false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</row>
    <row r="93" customFormat="false" ht="15" hidden="false" customHeight="false" outlineLevel="0" collapsed="false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</row>
    <row r="94" customFormat="false" ht="15" hidden="false" customHeight="false" outlineLevel="0" collapsed="false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</row>
    <row r="95" customFormat="false" ht="15" hidden="false" customHeight="false" outlineLevel="0" collapsed="false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</row>
    <row r="96" customFormat="false" ht="15" hidden="false" customHeight="false" outlineLevel="0" collapsed="false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</row>
    <row r="97" customFormat="false" ht="15" hidden="false" customHeight="false" outlineLevel="0" collapsed="false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</row>
    <row r="98" customFormat="false" ht="15" hidden="false" customHeight="false" outlineLevel="0" collapsed="false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</row>
    <row r="99" customFormat="false" ht="15" hidden="false" customHeight="false" outlineLevel="0" collapsed="false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</row>
    <row r="100" customFormat="false" ht="15" hidden="false" customHeight="false" outlineLevel="0" collapsed="false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</row>
    <row r="101" customFormat="false" ht="15" hidden="false" customHeight="false" outlineLevel="0" collapsed="false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</row>
    <row r="102" customFormat="false" ht="15" hidden="false" customHeight="false" outlineLevel="0" collapsed="false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</row>
    <row r="103" customFormat="false" ht="15" hidden="false" customHeight="false" outlineLevel="0" collapsed="false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</row>
    <row r="104" customFormat="false" ht="15" hidden="false" customHeight="false" outlineLevel="0" collapsed="false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</row>
    <row r="105" customFormat="false" ht="15" hidden="false" customHeight="false" outlineLevel="0" collapsed="false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</row>
    <row r="106" customFormat="false" ht="15" hidden="false" customHeight="false" outlineLevel="0" collapsed="false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</row>
    <row r="107" customFormat="false" ht="15" hidden="false" customHeight="false" outlineLevel="0" collapsed="false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</row>
    <row r="108" customFormat="false" ht="15" hidden="false" customHeight="false" outlineLevel="0" collapsed="false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</row>
    <row r="109" customFormat="false" ht="15" hidden="false" customHeight="false" outlineLevel="0" collapsed="false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</row>
    <row r="110" customFormat="false" ht="15" hidden="false" customHeight="false" outlineLevel="0" collapsed="false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</row>
    <row r="111" customFormat="false" ht="15" hidden="false" customHeight="false" outlineLevel="0" collapsed="false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</row>
    <row r="112" customFormat="false" ht="15" hidden="false" customHeight="false" outlineLevel="0" collapsed="false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</row>
    <row r="113" customFormat="false" ht="15" hidden="false" customHeight="false" outlineLevel="0" collapsed="false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</row>
    <row r="114" customFormat="false" ht="15" hidden="false" customHeight="false" outlineLevel="0" collapsed="false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</row>
    <row r="115" customFormat="false" ht="15" hidden="false" customHeight="false" outlineLevel="0" collapsed="false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</row>
    <row r="116" customFormat="false" ht="15" hidden="false" customHeight="false" outlineLevel="0" collapsed="false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</row>
    <row r="117" customFormat="false" ht="15" hidden="false" customHeight="false" outlineLevel="0" collapsed="false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</row>
    <row r="118" customFormat="false" ht="15" hidden="false" customHeight="false" outlineLevel="0" collapsed="false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</row>
    <row r="119" customFormat="false" ht="15" hidden="false" customHeight="false" outlineLevel="0" collapsed="false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</row>
    <row r="120" customFormat="false" ht="15" hidden="false" customHeight="false" outlineLevel="0" collapsed="false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</row>
    <row r="121" customFormat="false" ht="15" hidden="false" customHeight="false" outlineLevel="0" collapsed="false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</row>
    <row r="122" customFormat="false" ht="15" hidden="false" customHeight="false" outlineLevel="0" collapsed="false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</row>
    <row r="123" customFormat="false" ht="15" hidden="false" customHeight="false" outlineLevel="0" collapsed="false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</row>
    <row r="124" customFormat="false" ht="15" hidden="false" customHeight="false" outlineLevel="0" collapsed="false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</row>
    <row r="125" customFormat="false" ht="15" hidden="false" customHeight="false" outlineLevel="0" collapsed="false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</row>
    <row r="126" customFormat="false" ht="15" hidden="false" customHeight="false" outlineLevel="0" collapsed="false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</row>
    <row r="127" customFormat="false" ht="15" hidden="false" customHeight="false" outlineLevel="0" collapsed="false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</row>
    <row r="128" customFormat="false" ht="15" hidden="false" customHeight="false" outlineLevel="0" collapsed="false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</row>
    <row r="129" customFormat="false" ht="15" hidden="false" customHeight="false" outlineLevel="0" collapsed="false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</row>
    <row r="130" customFormat="false" ht="15" hidden="false" customHeight="false" outlineLevel="0" collapsed="false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</row>
    <row r="131" customFormat="false" ht="15" hidden="false" customHeight="false" outlineLevel="0" collapsed="false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</row>
    <row r="132" customFormat="false" ht="15" hidden="false" customHeight="false" outlineLevel="0" collapsed="false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</row>
    <row r="133" customFormat="false" ht="15" hidden="false" customHeight="false" outlineLevel="0" collapsed="false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</row>
    <row r="134" customFormat="false" ht="15" hidden="false" customHeight="false" outlineLevel="0" collapsed="false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</row>
    <row r="135" customFormat="false" ht="15" hidden="false" customHeight="false" outlineLevel="0" collapsed="false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</row>
    <row r="136" customFormat="false" ht="15" hidden="false" customHeight="false" outlineLevel="0" collapsed="false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</row>
    <row r="137" customFormat="false" ht="15" hidden="false" customHeight="false" outlineLevel="0" collapsed="false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</row>
    <row r="138" customFormat="false" ht="15" hidden="false" customHeight="false" outlineLevel="0" collapsed="false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</row>
    <row r="139" customFormat="false" ht="15" hidden="false" customHeight="false" outlineLevel="0" collapsed="false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</row>
    <row r="140" customFormat="false" ht="15" hidden="false" customHeight="false" outlineLevel="0" collapsed="false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</row>
    <row r="141" customFormat="false" ht="15" hidden="false" customHeight="false" outlineLevel="0" collapsed="false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</row>
    <row r="142" customFormat="false" ht="15" hidden="false" customHeight="false" outlineLevel="0" collapsed="false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</row>
    <row r="143" customFormat="false" ht="15" hidden="false" customHeight="false" outlineLevel="0" collapsed="false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</row>
    <row r="144" customFormat="false" ht="15" hidden="false" customHeight="false" outlineLevel="0" collapsed="false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</row>
    <row r="145" customFormat="false" ht="15" hidden="false" customHeight="false" outlineLevel="0" collapsed="false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</row>
    <row r="146" customFormat="false" ht="15" hidden="false" customHeight="false" outlineLevel="0" collapsed="false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</row>
    <row r="147" customFormat="false" ht="15" hidden="false" customHeight="false" outlineLevel="0" collapsed="false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</row>
    <row r="148" customFormat="false" ht="15" hidden="false" customHeight="false" outlineLevel="0" collapsed="false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</row>
    <row r="149" customFormat="false" ht="15" hidden="false" customHeight="false" outlineLevel="0" collapsed="false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</row>
    <row r="150" customFormat="false" ht="15" hidden="false" customHeight="false" outlineLevel="0" collapsed="false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</row>
    <row r="151" customFormat="false" ht="15" hidden="false" customHeight="false" outlineLevel="0" collapsed="false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</row>
    <row r="152" customFormat="false" ht="15" hidden="false" customHeight="false" outlineLevel="0" collapsed="false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</row>
    <row r="153" customFormat="false" ht="15" hidden="false" customHeight="false" outlineLevel="0" collapsed="false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</row>
    <row r="154" customFormat="false" ht="15" hidden="false" customHeight="false" outlineLevel="0" collapsed="false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</row>
    <row r="155" customFormat="false" ht="15" hidden="false" customHeight="false" outlineLevel="0" collapsed="false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</row>
    <row r="156" customFormat="false" ht="15" hidden="false" customHeight="false" outlineLevel="0" collapsed="false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</row>
    <row r="157" customFormat="false" ht="15" hidden="false" customHeight="false" outlineLevel="0" collapsed="false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</row>
    <row r="158" customFormat="false" ht="15" hidden="false" customHeight="false" outlineLevel="0" collapsed="false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</row>
    <row r="159" customFormat="false" ht="15" hidden="false" customHeight="false" outlineLevel="0" collapsed="false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</row>
    <row r="160" customFormat="false" ht="15" hidden="false" customHeight="false" outlineLevel="0" collapsed="false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</row>
    <row r="161" customFormat="false" ht="15" hidden="false" customHeight="false" outlineLevel="0" collapsed="false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</row>
    <row r="162" customFormat="false" ht="15" hidden="false" customHeight="false" outlineLevel="0" collapsed="false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</row>
    <row r="163" customFormat="false" ht="15" hidden="false" customHeight="false" outlineLevel="0" collapsed="false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</row>
    <row r="164" customFormat="false" ht="15" hidden="false" customHeight="false" outlineLevel="0" collapsed="false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</row>
    <row r="165" customFormat="false" ht="15" hidden="false" customHeight="false" outlineLevel="0" collapsed="false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</row>
    <row r="166" customFormat="false" ht="15" hidden="false" customHeight="false" outlineLevel="0" collapsed="false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</row>
    <row r="167" customFormat="false" ht="15" hidden="false" customHeight="false" outlineLevel="0" collapsed="false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</row>
    <row r="168" customFormat="false" ht="15" hidden="false" customHeight="false" outlineLevel="0" collapsed="false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</row>
    <row r="169" customFormat="false" ht="15" hidden="false" customHeight="false" outlineLevel="0" collapsed="false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</row>
    <row r="170" customFormat="false" ht="15" hidden="false" customHeight="false" outlineLevel="0" collapsed="false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</row>
    <row r="171" customFormat="false" ht="15" hidden="false" customHeight="false" outlineLevel="0" collapsed="false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</row>
    <row r="172" customFormat="false" ht="15" hidden="false" customHeight="false" outlineLevel="0" collapsed="false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</row>
    <row r="173" customFormat="false" ht="15" hidden="false" customHeight="false" outlineLevel="0" collapsed="false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</row>
    <row r="174" customFormat="false" ht="15" hidden="false" customHeight="false" outlineLevel="0" collapsed="false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</row>
    <row r="175" customFormat="false" ht="15" hidden="false" customHeight="false" outlineLevel="0" collapsed="false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</row>
    <row r="176" customFormat="false" ht="15" hidden="false" customHeight="false" outlineLevel="0" collapsed="false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</row>
    <row r="177" customFormat="false" ht="15" hidden="false" customHeight="false" outlineLevel="0" collapsed="false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</row>
    <row r="178" customFormat="false" ht="15" hidden="false" customHeight="false" outlineLevel="0" collapsed="false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</row>
    <row r="179" customFormat="false" ht="15" hidden="false" customHeight="false" outlineLevel="0" collapsed="false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</row>
    <row r="180" customFormat="false" ht="15" hidden="false" customHeight="false" outlineLevel="0" collapsed="false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</row>
    <row r="181" customFormat="false" ht="15" hidden="false" customHeight="false" outlineLevel="0" collapsed="false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</row>
    <row r="182" customFormat="false" ht="15" hidden="false" customHeight="false" outlineLevel="0" collapsed="false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</row>
    <row r="183" customFormat="false" ht="15" hidden="false" customHeight="false" outlineLevel="0" collapsed="false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</row>
    <row r="184" customFormat="false" ht="15" hidden="false" customHeight="false" outlineLevel="0" collapsed="false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</row>
    <row r="185" customFormat="false" ht="15" hidden="false" customHeight="false" outlineLevel="0" collapsed="false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</row>
    <row r="186" customFormat="false" ht="15" hidden="false" customHeight="false" outlineLevel="0" collapsed="false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</row>
    <row r="187" customFormat="false" ht="15" hidden="false" customHeight="false" outlineLevel="0" collapsed="false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</row>
    <row r="188" customFormat="false" ht="15" hidden="false" customHeight="false" outlineLevel="0" collapsed="false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</row>
    <row r="189" customFormat="false" ht="15" hidden="false" customHeight="false" outlineLevel="0" collapsed="false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</row>
    <row r="190" customFormat="false" ht="15" hidden="false" customHeight="false" outlineLevel="0" collapsed="false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</row>
    <row r="191" customFormat="false" ht="15" hidden="false" customHeight="false" outlineLevel="0" collapsed="false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</row>
    <row r="192" customFormat="false" ht="15" hidden="false" customHeight="false" outlineLevel="0" collapsed="false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</row>
    <row r="193" customFormat="false" ht="15" hidden="false" customHeight="false" outlineLevel="0" collapsed="false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</row>
    <row r="194" customFormat="false" ht="15" hidden="false" customHeight="false" outlineLevel="0" collapsed="false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</row>
    <row r="195" customFormat="false" ht="15" hidden="false" customHeight="false" outlineLevel="0" collapsed="false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</row>
    <row r="196" customFormat="false" ht="15" hidden="false" customHeight="false" outlineLevel="0" collapsed="false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</row>
    <row r="197" customFormat="false" ht="15" hidden="false" customHeight="false" outlineLevel="0" collapsed="false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</row>
    <row r="198" customFormat="false" ht="15" hidden="false" customHeight="false" outlineLevel="0" collapsed="false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</row>
    <row r="199" customFormat="false" ht="15" hidden="false" customHeight="false" outlineLevel="0" collapsed="false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</row>
    <row r="200" customFormat="false" ht="15" hidden="false" customHeight="false" outlineLevel="0" collapsed="false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</row>
    <row r="201" customFormat="false" ht="15" hidden="false" customHeight="false" outlineLevel="0" collapsed="false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</row>
    <row r="202" customFormat="false" ht="15" hidden="false" customHeight="false" outlineLevel="0" collapsed="false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</row>
    <row r="203" customFormat="false" ht="15" hidden="false" customHeight="false" outlineLevel="0" collapsed="false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</row>
    <row r="204" customFormat="false" ht="15" hidden="false" customHeight="false" outlineLevel="0" collapsed="false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</row>
    <row r="205" customFormat="false" ht="15" hidden="false" customHeight="false" outlineLevel="0" collapsed="false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</row>
    <row r="206" customFormat="false" ht="15" hidden="false" customHeight="false" outlineLevel="0" collapsed="false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</row>
    <row r="207" customFormat="false" ht="15" hidden="false" customHeight="false" outlineLevel="0" collapsed="false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</row>
    <row r="208" customFormat="false" ht="15" hidden="false" customHeight="false" outlineLevel="0" collapsed="false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</row>
    <row r="209" customFormat="false" ht="15" hidden="false" customHeight="false" outlineLevel="0" collapsed="false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</row>
    <row r="210" customFormat="false" ht="15" hidden="false" customHeight="false" outlineLevel="0" collapsed="false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</row>
    <row r="211" customFormat="false" ht="15" hidden="false" customHeight="false" outlineLevel="0" collapsed="false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</row>
    <row r="212" customFormat="false" ht="15" hidden="false" customHeight="false" outlineLevel="0" collapsed="false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</row>
    <row r="213" customFormat="false" ht="15" hidden="false" customHeight="false" outlineLevel="0" collapsed="false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</row>
    <row r="214" customFormat="false" ht="15" hidden="false" customHeight="false" outlineLevel="0" collapsed="false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</row>
    <row r="215" customFormat="false" ht="15" hidden="false" customHeight="false" outlineLevel="0" collapsed="false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</row>
    <row r="216" customFormat="false" ht="15" hidden="false" customHeight="false" outlineLevel="0" collapsed="false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</row>
    <row r="217" customFormat="false" ht="15" hidden="false" customHeight="false" outlineLevel="0" collapsed="false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</row>
    <row r="218" customFormat="false" ht="15" hidden="false" customHeight="false" outlineLevel="0" collapsed="false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</row>
    <row r="219" customFormat="false" ht="15" hidden="false" customHeight="false" outlineLevel="0" collapsed="false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</row>
    <row r="220" customFormat="false" ht="15" hidden="false" customHeight="false" outlineLevel="0" collapsed="false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</row>
    <row r="221" customFormat="false" ht="15" hidden="false" customHeight="false" outlineLevel="0" collapsed="false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</row>
    <row r="222" customFormat="false" ht="15" hidden="false" customHeight="false" outlineLevel="0" collapsed="false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</row>
    <row r="223" customFormat="false" ht="15" hidden="false" customHeight="false" outlineLevel="0" collapsed="false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</row>
    <row r="224" customFormat="false" ht="15" hidden="false" customHeight="false" outlineLevel="0" collapsed="false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</row>
    <row r="225" customFormat="false" ht="15" hidden="false" customHeight="false" outlineLevel="0" collapsed="false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</row>
    <row r="226" customFormat="false" ht="15" hidden="false" customHeight="false" outlineLevel="0" collapsed="false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</row>
    <row r="227" customFormat="false" ht="15" hidden="false" customHeight="false" outlineLevel="0" collapsed="false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</row>
    <row r="228" customFormat="false" ht="15" hidden="false" customHeight="false" outlineLevel="0" collapsed="false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</row>
    <row r="229" customFormat="false" ht="15" hidden="false" customHeight="false" outlineLevel="0" collapsed="false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</row>
    <row r="230" customFormat="false" ht="15" hidden="false" customHeight="false" outlineLevel="0" collapsed="false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</row>
    <row r="231" customFormat="false" ht="15" hidden="false" customHeight="false" outlineLevel="0" collapsed="false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</row>
    <row r="232" customFormat="false" ht="15" hidden="false" customHeight="false" outlineLevel="0" collapsed="false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</row>
    <row r="233" customFormat="false" ht="15" hidden="false" customHeight="false" outlineLevel="0" collapsed="false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</row>
    <row r="234" customFormat="false" ht="15" hidden="false" customHeight="false" outlineLevel="0" collapsed="false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</row>
    <row r="235" customFormat="false" ht="15" hidden="false" customHeight="false" outlineLevel="0" collapsed="false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</row>
    <row r="236" customFormat="false" ht="15" hidden="false" customHeight="false" outlineLevel="0" collapsed="false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</row>
    <row r="237" customFormat="false" ht="15" hidden="false" customHeight="false" outlineLevel="0" collapsed="false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</row>
    <row r="238" customFormat="false" ht="15" hidden="false" customHeight="false" outlineLevel="0" collapsed="false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</row>
    <row r="239" customFormat="false" ht="15" hidden="false" customHeight="false" outlineLevel="0" collapsed="false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</row>
    <row r="240" customFormat="false" ht="15" hidden="false" customHeight="false" outlineLevel="0" collapsed="false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</row>
    <row r="241" customFormat="false" ht="15" hidden="false" customHeight="false" outlineLevel="0" collapsed="false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</row>
    <row r="242" customFormat="false" ht="15" hidden="false" customHeight="false" outlineLevel="0" collapsed="false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</row>
    <row r="243" customFormat="false" ht="15" hidden="false" customHeight="false" outlineLevel="0" collapsed="false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</row>
    <row r="244" customFormat="false" ht="15" hidden="false" customHeight="false" outlineLevel="0" collapsed="false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</row>
    <row r="245" customFormat="false" ht="15" hidden="false" customHeight="false" outlineLevel="0" collapsed="false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</row>
    <row r="246" customFormat="false" ht="15" hidden="false" customHeight="false" outlineLevel="0" collapsed="false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</row>
    <row r="247" customFormat="false" ht="15" hidden="false" customHeight="false" outlineLevel="0" collapsed="false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</row>
    <row r="248" customFormat="false" ht="15" hidden="false" customHeight="false" outlineLevel="0" collapsed="false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</row>
    <row r="249" customFormat="false" ht="15" hidden="false" customHeight="false" outlineLevel="0" collapsed="false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</row>
    <row r="250" customFormat="false" ht="15" hidden="false" customHeight="false" outlineLevel="0" collapsed="false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</row>
    <row r="251" customFormat="false" ht="15" hidden="false" customHeight="false" outlineLevel="0" collapsed="false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</row>
    <row r="252" customFormat="false" ht="15" hidden="false" customHeight="false" outlineLevel="0" collapsed="false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</row>
    <row r="253" customFormat="false" ht="15" hidden="false" customHeight="false" outlineLevel="0" collapsed="false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</row>
    <row r="254" customFormat="false" ht="15" hidden="false" customHeight="false" outlineLevel="0" collapsed="false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</row>
    <row r="255" customFormat="false" ht="15" hidden="false" customHeight="false" outlineLevel="0" collapsed="false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</row>
    <row r="256" customFormat="false" ht="15" hidden="false" customHeight="false" outlineLevel="0" collapsed="false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</row>
    <row r="257" customFormat="false" ht="15" hidden="false" customHeight="false" outlineLevel="0" collapsed="false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</row>
    <row r="258" customFormat="false" ht="15" hidden="false" customHeight="false" outlineLevel="0" collapsed="false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</row>
    <row r="259" customFormat="false" ht="15" hidden="false" customHeight="false" outlineLevel="0" collapsed="false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</row>
    <row r="260" customFormat="false" ht="15" hidden="false" customHeight="false" outlineLevel="0" collapsed="false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</row>
    <row r="261" customFormat="false" ht="15" hidden="false" customHeight="false" outlineLevel="0" collapsed="false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</row>
    <row r="262" customFormat="false" ht="15" hidden="false" customHeight="false" outlineLevel="0" collapsed="false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</row>
    <row r="263" customFormat="false" ht="15" hidden="false" customHeight="false" outlineLevel="0" collapsed="false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</row>
    <row r="264" customFormat="false" ht="15" hidden="false" customHeight="false" outlineLevel="0" collapsed="false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</row>
    <row r="265" customFormat="false" ht="15" hidden="false" customHeight="false" outlineLevel="0" collapsed="false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</row>
    <row r="266" customFormat="false" ht="15" hidden="false" customHeight="false" outlineLevel="0" collapsed="false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</row>
    <row r="267" customFormat="false" ht="15" hidden="false" customHeight="false" outlineLevel="0" collapsed="false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</row>
    <row r="268" customFormat="false" ht="15" hidden="false" customHeight="false" outlineLevel="0" collapsed="false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</row>
    <row r="269" customFormat="false" ht="15" hidden="false" customHeight="false" outlineLevel="0" collapsed="false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</row>
    <row r="270" customFormat="false" ht="15" hidden="false" customHeight="false" outlineLevel="0" collapsed="false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</row>
    <row r="271" customFormat="false" ht="15" hidden="false" customHeight="false" outlineLevel="0" collapsed="false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</row>
    <row r="272" customFormat="false" ht="15" hidden="false" customHeight="false" outlineLevel="0" collapsed="false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</row>
    <row r="273" customFormat="false" ht="15" hidden="false" customHeight="false" outlineLevel="0" collapsed="false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</row>
    <row r="274" customFormat="false" ht="15" hidden="false" customHeight="false" outlineLevel="0" collapsed="false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</row>
    <row r="275" customFormat="false" ht="15" hidden="false" customHeight="false" outlineLevel="0" collapsed="false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</row>
    <row r="276" customFormat="false" ht="15" hidden="false" customHeight="false" outlineLevel="0" collapsed="false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</row>
    <row r="277" customFormat="false" ht="15" hidden="false" customHeight="false" outlineLevel="0" collapsed="false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</row>
    <row r="278" customFormat="false" ht="15" hidden="false" customHeight="false" outlineLevel="0" collapsed="false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</row>
    <row r="279" customFormat="false" ht="15" hidden="false" customHeight="false" outlineLevel="0" collapsed="false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</row>
    <row r="280" customFormat="false" ht="15" hidden="false" customHeight="false" outlineLevel="0" collapsed="false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</row>
    <row r="281" customFormat="false" ht="15" hidden="false" customHeight="false" outlineLevel="0" collapsed="false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</row>
    <row r="282" customFormat="false" ht="15" hidden="false" customHeight="false" outlineLevel="0" collapsed="false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</row>
    <row r="283" customFormat="false" ht="15" hidden="false" customHeight="false" outlineLevel="0" collapsed="false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</row>
    <row r="284" customFormat="false" ht="15" hidden="false" customHeight="false" outlineLevel="0" collapsed="false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</row>
    <row r="285" customFormat="false" ht="15" hidden="false" customHeight="false" outlineLevel="0" collapsed="false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</row>
    <row r="286" customFormat="false" ht="15" hidden="false" customHeight="false" outlineLevel="0" collapsed="false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</row>
    <row r="287" customFormat="false" ht="15" hidden="false" customHeight="false" outlineLevel="0" collapsed="false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</row>
    <row r="288" customFormat="false" ht="15" hidden="false" customHeight="false" outlineLevel="0" collapsed="false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</row>
    <row r="289" customFormat="false" ht="15" hidden="false" customHeight="false" outlineLevel="0" collapsed="false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</row>
    <row r="290" customFormat="false" ht="15" hidden="false" customHeight="false" outlineLevel="0" collapsed="false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</row>
    <row r="291" customFormat="false" ht="15" hidden="false" customHeight="false" outlineLevel="0" collapsed="false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</row>
    <row r="292" customFormat="false" ht="15" hidden="false" customHeight="false" outlineLevel="0" collapsed="false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</row>
    <row r="293" customFormat="false" ht="15" hidden="false" customHeight="false" outlineLevel="0" collapsed="false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</row>
    <row r="294" customFormat="false" ht="15" hidden="false" customHeight="false" outlineLevel="0" collapsed="false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</row>
    <row r="295" customFormat="false" ht="15" hidden="false" customHeight="false" outlineLevel="0" collapsed="false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</row>
    <row r="296" customFormat="false" ht="15" hidden="false" customHeight="false" outlineLevel="0" collapsed="false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</row>
    <row r="297" customFormat="false" ht="15" hidden="false" customHeight="false" outlineLevel="0" collapsed="false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</row>
    <row r="298" customFormat="false" ht="15" hidden="false" customHeight="false" outlineLevel="0" collapsed="false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</row>
    <row r="299" customFormat="false" ht="15" hidden="false" customHeight="false" outlineLevel="0" collapsed="false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</row>
    <row r="300" customFormat="false" ht="15" hidden="false" customHeight="false" outlineLevel="0" collapsed="false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</row>
    <row r="301" customFormat="false" ht="15" hidden="false" customHeight="false" outlineLevel="0" collapsed="false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</row>
    <row r="302" customFormat="false" ht="15" hidden="false" customHeight="false" outlineLevel="0" collapsed="false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</row>
    <row r="303" customFormat="false" ht="15" hidden="false" customHeight="false" outlineLevel="0" collapsed="false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</row>
    <row r="304" customFormat="false" ht="15" hidden="false" customHeight="false" outlineLevel="0" collapsed="false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2026-09-02T02:16:27Z</dcterms:created>
  <dc:creator>openpyxl</dc:creator>
  <dc:description/>
  <dc:language>en-US</dc:language>
  <cp:lastModifiedBy/>
  <dcterms:modified xsi:type="dcterms:W3CDTF">2026-09-02T02:16:29Z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